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fmeghani_purdue_edu/Documents/"/>
    </mc:Choice>
  </mc:AlternateContent>
  <xr:revisionPtr revIDLastSave="0" documentId="8_{5FF8FF4D-BC99-4FEC-9949-96F732812F42}" xr6:coauthVersionLast="47" xr6:coauthVersionMax="47" xr10:uidLastSave="{00000000-0000-0000-0000-000000000000}"/>
  <bookViews>
    <workbookView xWindow="20" yWindow="600" windowWidth="28800" windowHeight="17400" firstSheet="3" activeTab="3" xr2:uid="{37A2A5BF-C095-DD4F-BDED-4F7C53C1A990}"/>
  </bookViews>
  <sheets>
    <sheet name="Inputs_Assumptions" sheetId="1" r:id="rId1"/>
    <sheet name="Pool_Amortization" sheetId="2" r:id="rId2"/>
    <sheet name="Waterfall_Cashflows" sheetId="3" r:id="rId3"/>
    <sheet name="Sensitivity_Matrix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9" i="1"/>
  <c r="X10" i="3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/>
  <c r="A22" i="3" s="1"/>
  <c r="A23" i="3" s="1"/>
  <c r="A24" i="3" s="1"/>
  <c r="A25" i="3"/>
  <c r="A26" i="3" s="1"/>
  <c r="A27" i="3" s="1"/>
  <c r="A28" i="3" s="1"/>
  <c r="A29" i="3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B8" i="3"/>
  <c r="C8" i="3"/>
  <c r="D8" i="3"/>
  <c r="K8" i="2"/>
  <c r="B9" i="2" s="1"/>
  <c r="D9" i="2" s="1"/>
  <c r="B15" i="1"/>
  <c r="E9" i="3" l="1"/>
  <c r="C9" i="2"/>
  <c r="E9" i="2"/>
  <c r="I9" i="2" s="1"/>
  <c r="J9" i="3" s="1"/>
  <c r="W10" i="3"/>
  <c r="W9" i="3"/>
  <c r="W8" i="3"/>
  <c r="K9" i="3" l="1"/>
  <c r="L9" i="3"/>
  <c r="A11" i="2" l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10" i="2"/>
  <c r="B13" i="1"/>
  <c r="B16" i="1" s="1"/>
  <c r="F9" i="2" s="1"/>
  <c r="K9" i="2" l="1"/>
  <c r="B10" i="2" s="1"/>
  <c r="H9" i="2"/>
  <c r="J9" i="2" s="1"/>
  <c r="F9" i="3" s="1"/>
  <c r="G9" i="2"/>
  <c r="M9" i="3" l="1"/>
  <c r="N9" i="3" s="1"/>
  <c r="G9" i="3"/>
  <c r="H9" i="3" s="1"/>
  <c r="E10" i="3"/>
  <c r="D10" i="2"/>
  <c r="E10" i="2" s="1"/>
  <c r="I10" i="2" s="1"/>
  <c r="J10" i="3" s="1"/>
  <c r="C10" i="2"/>
  <c r="F10" i="2"/>
  <c r="G10" i="2" l="1"/>
  <c r="H10" i="2"/>
  <c r="J10" i="2"/>
  <c r="F10" i="3" s="1"/>
  <c r="I9" i="3"/>
  <c r="S9" i="3" s="1"/>
  <c r="O9" i="3"/>
  <c r="Q9" i="3"/>
  <c r="C9" i="3"/>
  <c r="K10" i="2"/>
  <c r="B11" i="2" s="1"/>
  <c r="R9" i="3"/>
  <c r="D9" i="3"/>
  <c r="E11" i="3" l="1"/>
  <c r="C11" i="2"/>
  <c r="F11" i="2"/>
  <c r="D11" i="2"/>
  <c r="E11" i="2" s="1"/>
  <c r="M10" i="3"/>
  <c r="R10" i="3" s="1"/>
  <c r="P9" i="3"/>
  <c r="B9" i="3"/>
  <c r="I11" i="2" l="1"/>
  <c r="J11" i="3" s="1"/>
  <c r="K11" i="2"/>
  <c r="B12" i="2" s="1"/>
  <c r="D12" i="2" s="1"/>
  <c r="C12" i="2"/>
  <c r="F12" i="2"/>
  <c r="D10" i="3"/>
  <c r="G10" i="3"/>
  <c r="H10" i="3" s="1"/>
  <c r="K10" i="3"/>
  <c r="L10" i="3" s="1"/>
  <c r="G11" i="2"/>
  <c r="H11" i="2"/>
  <c r="J11" i="2" s="1"/>
  <c r="F11" i="3" s="1"/>
  <c r="E12" i="3" l="1"/>
  <c r="M11" i="3"/>
  <c r="R11" i="3" s="1"/>
  <c r="E12" i="2"/>
  <c r="K12" i="2" s="1"/>
  <c r="B13" i="2" s="1"/>
  <c r="N10" i="3"/>
  <c r="O10" i="3" s="1"/>
  <c r="P10" i="3" s="1"/>
  <c r="H12" i="2"/>
  <c r="G12" i="2"/>
  <c r="I10" i="3"/>
  <c r="S10" i="3" s="1"/>
  <c r="D11" i="3"/>
  <c r="I12" i="2" l="1"/>
  <c r="J12" i="3" s="1"/>
  <c r="Q10" i="3"/>
  <c r="B10" i="3"/>
  <c r="M12" i="3"/>
  <c r="R12" i="3" s="1"/>
  <c r="E13" i="3"/>
  <c r="F13" i="2"/>
  <c r="D13" i="2"/>
  <c r="C13" i="2"/>
  <c r="J12" i="2"/>
  <c r="F12" i="3" s="1"/>
  <c r="C10" i="3"/>
  <c r="G11" i="3" l="1"/>
  <c r="H11" i="3" s="1"/>
  <c r="K11" i="3"/>
  <c r="L11" i="3" s="1"/>
  <c r="H13" i="2"/>
  <c r="G13" i="2"/>
  <c r="D12" i="3"/>
  <c r="E13" i="2"/>
  <c r="I13" i="2" s="1"/>
  <c r="J13" i="3" s="1"/>
  <c r="M13" i="3" l="1"/>
  <c r="R13" i="3" s="1"/>
  <c r="N11" i="3"/>
  <c r="I11" i="3"/>
  <c r="S11" i="3" s="1"/>
  <c r="J13" i="2"/>
  <c r="F13" i="3" s="1"/>
  <c r="K13" i="2"/>
  <c r="B14" i="2" s="1"/>
  <c r="D13" i="3" l="1"/>
  <c r="D14" i="2"/>
  <c r="E14" i="2" s="1"/>
  <c r="E14" i="3"/>
  <c r="C14" i="2"/>
  <c r="F14" i="2"/>
  <c r="Q11" i="3"/>
  <c r="O11" i="3"/>
  <c r="C11" i="3"/>
  <c r="K14" i="2" l="1"/>
  <c r="B15" i="2" s="1"/>
  <c r="G14" i="2"/>
  <c r="H14" i="2"/>
  <c r="J14" i="2" s="1"/>
  <c r="F14" i="3" s="1"/>
  <c r="P11" i="3"/>
  <c r="B11" i="3"/>
  <c r="E15" i="3"/>
  <c r="F15" i="2"/>
  <c r="C15" i="2"/>
  <c r="D15" i="2"/>
  <c r="I14" i="2"/>
  <c r="J14" i="3" s="1"/>
  <c r="G15" i="2" l="1"/>
  <c r="H15" i="2"/>
  <c r="M14" i="3"/>
  <c r="E15" i="2"/>
  <c r="K15" i="2" s="1"/>
  <c r="B16" i="2" s="1"/>
  <c r="G12" i="3"/>
  <c r="H12" i="3" s="1"/>
  <c r="I12" i="3" s="1"/>
  <c r="K12" i="3"/>
  <c r="L12" i="3" s="1"/>
  <c r="I15" i="2" l="1"/>
  <c r="J15" i="3" s="1"/>
  <c r="D16" i="2"/>
  <c r="E16" i="2" s="1"/>
  <c r="I16" i="2" s="1"/>
  <c r="J16" i="3" s="1"/>
  <c r="E16" i="3"/>
  <c r="F16" i="2"/>
  <c r="C16" i="2"/>
  <c r="N12" i="3"/>
  <c r="O12" i="3" s="1"/>
  <c r="B12" i="3" s="1"/>
  <c r="S12" i="3"/>
  <c r="R14" i="3"/>
  <c r="D14" i="3"/>
  <c r="M15" i="3"/>
  <c r="J15" i="2"/>
  <c r="F15" i="3" s="1"/>
  <c r="C12" i="3" l="1"/>
  <c r="P12" i="3"/>
  <c r="K16" i="2"/>
  <c r="B17" i="2" s="1"/>
  <c r="E17" i="3" s="1"/>
  <c r="G16" i="2"/>
  <c r="H16" i="2"/>
  <c r="J16" i="2" s="1"/>
  <c r="F16" i="3" s="1"/>
  <c r="G13" i="3"/>
  <c r="H13" i="3" s="1"/>
  <c r="I13" i="3" s="1"/>
  <c r="K13" i="3"/>
  <c r="L13" i="3" s="1"/>
  <c r="N13" i="3" s="1"/>
  <c r="O13" i="3" s="1"/>
  <c r="B13" i="3" s="1"/>
  <c r="D15" i="3"/>
  <c r="R15" i="3"/>
  <c r="Q12" i="3"/>
  <c r="F17" i="2" l="1"/>
  <c r="C17" i="2"/>
  <c r="D17" i="2"/>
  <c r="E17" i="2" s="1"/>
  <c r="I17" i="2" s="1"/>
  <c r="J17" i="3" s="1"/>
  <c r="S13" i="3"/>
  <c r="M16" i="3"/>
  <c r="R16" i="3" s="1"/>
  <c r="C13" i="3"/>
  <c r="P13" i="3"/>
  <c r="G14" i="3"/>
  <c r="H14" i="3" s="1"/>
  <c r="K14" i="3"/>
  <c r="G17" i="2"/>
  <c r="H17" i="2"/>
  <c r="Q13" i="3"/>
  <c r="J17" i="2" l="1"/>
  <c r="F17" i="3" s="1"/>
  <c r="K17" i="2"/>
  <c r="B18" i="2" s="1"/>
  <c r="D16" i="3"/>
  <c r="L14" i="3"/>
  <c r="N14" i="3" s="1"/>
  <c r="O14" i="3" s="1"/>
  <c r="P14" i="3" s="1"/>
  <c r="I14" i="3"/>
  <c r="S14" i="3" l="1"/>
  <c r="M17" i="3"/>
  <c r="D17" i="3" s="1"/>
  <c r="D18" i="2"/>
  <c r="E18" i="3"/>
  <c r="C18" i="2"/>
  <c r="F18" i="2"/>
  <c r="C14" i="3"/>
  <c r="B14" i="3"/>
  <c r="Q14" i="3"/>
  <c r="H18" i="2" l="1"/>
  <c r="G18" i="2"/>
  <c r="M18" i="3" s="1"/>
  <c r="E18" i="2"/>
  <c r="I18" i="2" s="1"/>
  <c r="J18" i="3" s="1"/>
  <c r="R17" i="3"/>
  <c r="G15" i="3"/>
  <c r="H15" i="3" s="1"/>
  <c r="K15" i="3"/>
  <c r="L15" i="3" s="1"/>
  <c r="N15" i="3" s="1"/>
  <c r="O15" i="3" s="1"/>
  <c r="K18" i="2" l="1"/>
  <c r="B19" i="2" s="1"/>
  <c r="D18" i="3"/>
  <c r="R18" i="3"/>
  <c r="C19" i="2"/>
  <c r="E19" i="3"/>
  <c r="D19" i="2"/>
  <c r="F19" i="2"/>
  <c r="J18" i="2"/>
  <c r="F18" i="3" s="1"/>
  <c r="C15" i="3"/>
  <c r="Q15" i="3"/>
  <c r="I15" i="3"/>
  <c r="S15" i="3" s="1"/>
  <c r="P15" i="3"/>
  <c r="B15" i="3"/>
  <c r="G19" i="2" l="1"/>
  <c r="M19" i="3" s="1"/>
  <c r="H19" i="2"/>
  <c r="E19" i="2"/>
  <c r="K19" i="2" s="1"/>
  <c r="B20" i="2" s="1"/>
  <c r="G16" i="3"/>
  <c r="H16" i="3" s="1"/>
  <c r="K16" i="3"/>
  <c r="L16" i="3" s="1"/>
  <c r="E20" i="3" l="1"/>
  <c r="F20" i="2"/>
  <c r="D20" i="2"/>
  <c r="C20" i="2"/>
  <c r="I19" i="2"/>
  <c r="J19" i="3" s="1"/>
  <c r="J19" i="2"/>
  <c r="F19" i="3" s="1"/>
  <c r="D19" i="3"/>
  <c r="R19" i="3"/>
  <c r="I16" i="3"/>
  <c r="S16" i="3" s="1"/>
  <c r="N16" i="3"/>
  <c r="O16" i="3" s="1"/>
  <c r="P16" i="3" s="1"/>
  <c r="E20" i="2" l="1"/>
  <c r="I20" i="2" s="1"/>
  <c r="J20" i="3" s="1"/>
  <c r="H20" i="2"/>
  <c r="G20" i="2"/>
  <c r="M20" i="3" s="1"/>
  <c r="D20" i="3" s="1"/>
  <c r="B16" i="3"/>
  <c r="K17" i="3" s="1"/>
  <c r="C16" i="3"/>
  <c r="Q16" i="3"/>
  <c r="L17" i="3" l="1"/>
  <c r="N17" i="3" s="1"/>
  <c r="O17" i="3" s="1"/>
  <c r="B17" i="3" s="1"/>
  <c r="J20" i="2"/>
  <c r="F20" i="3" s="1"/>
  <c r="K20" i="2"/>
  <c r="B21" i="2" s="1"/>
  <c r="G17" i="3"/>
  <c r="H17" i="3" s="1"/>
  <c r="I17" i="3" s="1"/>
  <c r="S17" i="3" s="1"/>
  <c r="E21" i="3"/>
  <c r="C21" i="2"/>
  <c r="D21" i="2"/>
  <c r="E21" i="2" s="1"/>
  <c r="F21" i="2"/>
  <c r="R20" i="3"/>
  <c r="C17" i="3"/>
  <c r="G18" i="3"/>
  <c r="H18" i="3" s="1"/>
  <c r="K18" i="3"/>
  <c r="P17" i="3"/>
  <c r="Q17" i="3"/>
  <c r="K21" i="2" l="1"/>
  <c r="B22" i="2" s="1"/>
  <c r="E22" i="3" s="1"/>
  <c r="I18" i="3"/>
  <c r="L18" i="3"/>
  <c r="N18" i="3" s="1"/>
  <c r="F22" i="2"/>
  <c r="D22" i="2"/>
  <c r="E22" i="2" s="1"/>
  <c r="I22" i="2" s="1"/>
  <c r="J22" i="3" s="1"/>
  <c r="C22" i="2"/>
  <c r="H21" i="2"/>
  <c r="J21" i="2" s="1"/>
  <c r="F21" i="3" s="1"/>
  <c r="G21" i="2"/>
  <c r="M21" i="3" s="1"/>
  <c r="I21" i="2"/>
  <c r="J21" i="3" s="1"/>
  <c r="K22" i="2" l="1"/>
  <c r="B23" i="2" s="1"/>
  <c r="S18" i="3"/>
  <c r="O18" i="3"/>
  <c r="Q18" i="3"/>
  <c r="C18" i="3"/>
  <c r="E23" i="3"/>
  <c r="D23" i="2"/>
  <c r="E23" i="2" s="1"/>
  <c r="F23" i="2"/>
  <c r="C23" i="2"/>
  <c r="D21" i="3"/>
  <c r="R21" i="3"/>
  <c r="G22" i="2"/>
  <c r="H22" i="2"/>
  <c r="J22" i="2" s="1"/>
  <c r="F22" i="3" s="1"/>
  <c r="K23" i="2" l="1"/>
  <c r="B24" i="2" s="1"/>
  <c r="M22" i="3"/>
  <c r="P18" i="3"/>
  <c r="B18" i="3"/>
  <c r="R22" i="3"/>
  <c r="D22" i="3"/>
  <c r="F24" i="2"/>
  <c r="C24" i="2"/>
  <c r="D24" i="2"/>
  <c r="E24" i="3"/>
  <c r="H23" i="2"/>
  <c r="J23" i="2" s="1"/>
  <c r="F23" i="3" s="1"/>
  <c r="G23" i="2"/>
  <c r="I23" i="2"/>
  <c r="J23" i="3" s="1"/>
  <c r="M23" i="3" l="1"/>
  <c r="D23" i="3" s="1"/>
  <c r="G19" i="3"/>
  <c r="H19" i="3" s="1"/>
  <c r="K19" i="3"/>
  <c r="E24" i="2"/>
  <c r="K24" i="2" s="1"/>
  <c r="B25" i="2" s="1"/>
  <c r="H24" i="2"/>
  <c r="G24" i="2"/>
  <c r="R23" i="3" l="1"/>
  <c r="M24" i="3"/>
  <c r="D24" i="3" s="1"/>
  <c r="J24" i="2"/>
  <c r="F24" i="3" s="1"/>
  <c r="I24" i="2"/>
  <c r="J24" i="3" s="1"/>
  <c r="L19" i="3"/>
  <c r="I19" i="3"/>
  <c r="E25" i="3"/>
  <c r="F25" i="2"/>
  <c r="D25" i="2"/>
  <c r="C25" i="2"/>
  <c r="R24" i="3" l="1"/>
  <c r="S19" i="3"/>
  <c r="N19" i="3"/>
  <c r="O19" i="3" s="1"/>
  <c r="E25" i="2"/>
  <c r="I25" i="2" s="1"/>
  <c r="J25" i="3" s="1"/>
  <c r="H25" i="2"/>
  <c r="G25" i="2"/>
  <c r="M25" i="3" s="1"/>
  <c r="J25" i="2" l="1"/>
  <c r="F25" i="3" s="1"/>
  <c r="Q19" i="3"/>
  <c r="C19" i="3"/>
  <c r="P19" i="3"/>
  <c r="B19" i="3"/>
  <c r="K25" i="2"/>
  <c r="B26" i="2" s="1"/>
  <c r="D26" i="2" s="1"/>
  <c r="R25" i="3"/>
  <c r="D25" i="3"/>
  <c r="E26" i="3" l="1"/>
  <c r="C26" i="2"/>
  <c r="F26" i="2"/>
  <c r="H26" i="2" s="1"/>
  <c r="K20" i="3"/>
  <c r="L20" i="3" s="1"/>
  <c r="G20" i="3"/>
  <c r="H20" i="3" s="1"/>
  <c r="N20" i="3"/>
  <c r="O20" i="3" s="1"/>
  <c r="B20" i="3" s="1"/>
  <c r="I20" i="3"/>
  <c r="S20" i="3" s="1"/>
  <c r="E26" i="2"/>
  <c r="I26" i="2" s="1"/>
  <c r="J26" i="3" s="1"/>
  <c r="G26" i="2" l="1"/>
  <c r="M26" i="3" s="1"/>
  <c r="R26" i="3" s="1"/>
  <c r="K26" i="2"/>
  <c r="B27" i="2" s="1"/>
  <c r="D27" i="2" s="1"/>
  <c r="E27" i="2" s="1"/>
  <c r="Q20" i="3"/>
  <c r="P20" i="3"/>
  <c r="J26" i="2"/>
  <c r="F26" i="3" s="1"/>
  <c r="G21" i="3"/>
  <c r="H21" i="3" s="1"/>
  <c r="K21" i="3"/>
  <c r="C20" i="3"/>
  <c r="D26" i="3"/>
  <c r="E27" i="3" l="1"/>
  <c r="C27" i="2"/>
  <c r="F27" i="2"/>
  <c r="G27" i="2" s="1"/>
  <c r="M27" i="3" s="1"/>
  <c r="I21" i="3"/>
  <c r="L21" i="3"/>
  <c r="N21" i="3" s="1"/>
  <c r="O21" i="3" s="1"/>
  <c r="I27" i="2"/>
  <c r="J27" i="3" s="1"/>
  <c r="K27" i="2" l="1"/>
  <c r="B28" i="2" s="1"/>
  <c r="E28" i="3" s="1"/>
  <c r="H27" i="2"/>
  <c r="J27" i="2" s="1"/>
  <c r="F27" i="3" s="1"/>
  <c r="B21" i="3"/>
  <c r="P21" i="3"/>
  <c r="C21" i="3"/>
  <c r="Q21" i="3"/>
  <c r="S21" i="3"/>
  <c r="D27" i="3"/>
  <c r="R27" i="3"/>
  <c r="F28" i="2" l="1"/>
  <c r="C28" i="2"/>
  <c r="D28" i="2"/>
  <c r="K22" i="3"/>
  <c r="L22" i="3" s="1"/>
  <c r="N22" i="3" s="1"/>
  <c r="O22" i="3" s="1"/>
  <c r="P22" i="3" s="1"/>
  <c r="G22" i="3"/>
  <c r="H22" i="3" s="1"/>
  <c r="E28" i="2" l="1"/>
  <c r="K28" i="2" s="1"/>
  <c r="B29" i="2" s="1"/>
  <c r="G28" i="2"/>
  <c r="M28" i="3" s="1"/>
  <c r="H28" i="2"/>
  <c r="J28" i="2" s="1"/>
  <c r="F28" i="3" s="1"/>
  <c r="C22" i="3"/>
  <c r="Q22" i="3"/>
  <c r="B22" i="3"/>
  <c r="I22" i="3"/>
  <c r="S22" i="3" s="1"/>
  <c r="I28" i="2" l="1"/>
  <c r="J28" i="3" s="1"/>
  <c r="C29" i="2"/>
  <c r="F29" i="2"/>
  <c r="D29" i="2"/>
  <c r="E29" i="2" s="1"/>
  <c r="I29" i="2" s="1"/>
  <c r="J29" i="3" s="1"/>
  <c r="E29" i="3"/>
  <c r="R28" i="3"/>
  <c r="D28" i="3"/>
  <c r="K23" i="3"/>
  <c r="L23" i="3" s="1"/>
  <c r="N23" i="3" s="1"/>
  <c r="O23" i="3" s="1"/>
  <c r="B23" i="3" s="1"/>
  <c r="G23" i="3"/>
  <c r="H23" i="3" s="1"/>
  <c r="K29" i="2" l="1"/>
  <c r="B30" i="2" s="1"/>
  <c r="E30" i="3" s="1"/>
  <c r="F30" i="2"/>
  <c r="C30" i="2"/>
  <c r="D30" i="2"/>
  <c r="H29" i="2"/>
  <c r="J29" i="2" s="1"/>
  <c r="F29" i="3" s="1"/>
  <c r="G29" i="2"/>
  <c r="M29" i="3" s="1"/>
  <c r="D29" i="3" s="1"/>
  <c r="Q23" i="3"/>
  <c r="P23" i="3"/>
  <c r="I23" i="3"/>
  <c r="S23" i="3" s="1"/>
  <c r="G24" i="3"/>
  <c r="H24" i="3" s="1"/>
  <c r="K24" i="3"/>
  <c r="C23" i="3"/>
  <c r="G30" i="2" l="1"/>
  <c r="M30" i="3" s="1"/>
  <c r="H30" i="2"/>
  <c r="E30" i="2"/>
  <c r="K30" i="2" s="1"/>
  <c r="B31" i="2" s="1"/>
  <c r="R29" i="3"/>
  <c r="L24" i="3"/>
  <c r="N24" i="3" s="1"/>
  <c r="I24" i="3"/>
  <c r="J30" i="2" l="1"/>
  <c r="F30" i="3" s="1"/>
  <c r="I30" i="2"/>
  <c r="J30" i="3" s="1"/>
  <c r="C31" i="2"/>
  <c r="F31" i="2"/>
  <c r="E31" i="3"/>
  <c r="D31" i="2"/>
  <c r="D30" i="3"/>
  <c r="R30" i="3"/>
  <c r="O24" i="3"/>
  <c r="C24" i="3"/>
  <c r="S24" i="3"/>
  <c r="Q24" i="3"/>
  <c r="E31" i="2" l="1"/>
  <c r="I31" i="2" s="1"/>
  <c r="J31" i="3" s="1"/>
  <c r="H31" i="2"/>
  <c r="G31" i="2"/>
  <c r="M31" i="3" s="1"/>
  <c r="D31" i="3" s="1"/>
  <c r="B24" i="3"/>
  <c r="P24" i="3"/>
  <c r="J31" i="2" l="1"/>
  <c r="F31" i="3" s="1"/>
  <c r="K31" i="2"/>
  <c r="B32" i="2" s="1"/>
  <c r="R31" i="3"/>
  <c r="G25" i="3"/>
  <c r="H25" i="3" s="1"/>
  <c r="I25" i="3" s="1"/>
  <c r="K25" i="3"/>
  <c r="L25" i="3" s="1"/>
  <c r="N25" i="3" s="1"/>
  <c r="O25" i="3" s="1"/>
  <c r="D32" i="2" l="1"/>
  <c r="C32" i="2"/>
  <c r="E32" i="3"/>
  <c r="F32" i="2"/>
  <c r="Q25" i="3"/>
  <c r="C25" i="3"/>
  <c r="S25" i="3"/>
  <c r="P25" i="3"/>
  <c r="B25" i="3"/>
  <c r="G32" i="2" l="1"/>
  <c r="M32" i="3" s="1"/>
  <c r="H32" i="2"/>
  <c r="E32" i="2"/>
  <c r="K32" i="2" s="1"/>
  <c r="B33" i="2" s="1"/>
  <c r="K26" i="3"/>
  <c r="L26" i="3" s="1"/>
  <c r="G26" i="3"/>
  <c r="H26" i="3" s="1"/>
  <c r="I26" i="3" s="1"/>
  <c r="I32" i="2" l="1"/>
  <c r="J32" i="3" s="1"/>
  <c r="S26" i="3"/>
  <c r="J32" i="2"/>
  <c r="F32" i="3" s="1"/>
  <c r="D33" i="2"/>
  <c r="E33" i="3"/>
  <c r="F33" i="2"/>
  <c r="C33" i="2"/>
  <c r="R32" i="3"/>
  <c r="D32" i="3"/>
  <c r="N26" i="3"/>
  <c r="O26" i="3" s="1"/>
  <c r="B26" i="3" s="1"/>
  <c r="G33" i="2" l="1"/>
  <c r="M33" i="3" s="1"/>
  <c r="R33" i="3" s="1"/>
  <c r="H33" i="2"/>
  <c r="E33" i="2"/>
  <c r="K33" i="2" s="1"/>
  <c r="B34" i="2" s="1"/>
  <c r="P26" i="3"/>
  <c r="C26" i="3"/>
  <c r="Q26" i="3"/>
  <c r="G27" i="3"/>
  <c r="H27" i="3" s="1"/>
  <c r="K27" i="3"/>
  <c r="I33" i="2" l="1"/>
  <c r="J33" i="3" s="1"/>
  <c r="L27" i="3"/>
  <c r="N27" i="3" s="1"/>
  <c r="O27" i="3" s="1"/>
  <c r="P27" i="3" s="1"/>
  <c r="D34" i="2"/>
  <c r="E34" i="3"/>
  <c r="F34" i="2"/>
  <c r="C34" i="2"/>
  <c r="E34" i="2"/>
  <c r="K34" i="2" s="1"/>
  <c r="B35" i="2" s="1"/>
  <c r="J33" i="2"/>
  <c r="F33" i="3" s="1"/>
  <c r="D33" i="3"/>
  <c r="Q27" i="3"/>
  <c r="C27" i="3"/>
  <c r="I27" i="3"/>
  <c r="S27" i="3" s="1"/>
  <c r="B27" i="3" l="1"/>
  <c r="C35" i="2"/>
  <c r="F35" i="2"/>
  <c r="E35" i="3"/>
  <c r="D35" i="2"/>
  <c r="H34" i="2"/>
  <c r="J34" i="2" s="1"/>
  <c r="F34" i="3" s="1"/>
  <c r="G34" i="2"/>
  <c r="M34" i="3" s="1"/>
  <c r="R34" i="3" s="1"/>
  <c r="I34" i="2"/>
  <c r="J34" i="3" s="1"/>
  <c r="G28" i="3" l="1"/>
  <c r="H28" i="3" s="1"/>
  <c r="K28" i="3"/>
  <c r="D34" i="3"/>
  <c r="E35" i="2"/>
  <c r="K35" i="2" s="1"/>
  <c r="B36" i="2" s="1"/>
  <c r="H35" i="2"/>
  <c r="G35" i="2"/>
  <c r="M35" i="3" s="1"/>
  <c r="D35" i="3" s="1"/>
  <c r="L28" i="3" l="1"/>
  <c r="I28" i="3"/>
  <c r="S28" i="3"/>
  <c r="J35" i="2"/>
  <c r="F35" i="3" s="1"/>
  <c r="C36" i="2"/>
  <c r="E36" i="3"/>
  <c r="F36" i="2"/>
  <c r="D36" i="2"/>
  <c r="R35" i="3"/>
  <c r="I35" i="2"/>
  <c r="J35" i="3" s="1"/>
  <c r="N28" i="3" l="1"/>
  <c r="O28" i="3" s="1"/>
  <c r="E36" i="2"/>
  <c r="K36" i="2" s="1"/>
  <c r="B37" i="2" s="1"/>
  <c r="I36" i="2"/>
  <c r="J36" i="3" s="1"/>
  <c r="H36" i="2"/>
  <c r="J36" i="2" s="1"/>
  <c r="F36" i="3" s="1"/>
  <c r="G36" i="2"/>
  <c r="M36" i="3" s="1"/>
  <c r="Q28" i="3" l="1"/>
  <c r="C28" i="3"/>
  <c r="B28" i="3"/>
  <c r="P28" i="3"/>
  <c r="R36" i="3"/>
  <c r="D36" i="3"/>
  <c r="D37" i="2"/>
  <c r="C37" i="2"/>
  <c r="E37" i="3"/>
  <c r="F37" i="2"/>
  <c r="G29" i="3" l="1"/>
  <c r="H29" i="3" s="1"/>
  <c r="K29" i="3"/>
  <c r="L29" i="3" s="1"/>
  <c r="N29" i="3" s="1"/>
  <c r="O29" i="3" s="1"/>
  <c r="P29" i="3" s="1"/>
  <c r="B29" i="3"/>
  <c r="I29" i="3"/>
  <c r="Q29" i="3"/>
  <c r="C29" i="3"/>
  <c r="G37" i="2"/>
  <c r="M37" i="3" s="1"/>
  <c r="D37" i="3" s="1"/>
  <c r="H37" i="2"/>
  <c r="E37" i="2"/>
  <c r="K37" i="2" s="1"/>
  <c r="B38" i="2" s="1"/>
  <c r="K30" i="3" l="1"/>
  <c r="G30" i="3"/>
  <c r="H30" i="3" s="1"/>
  <c r="R37" i="3"/>
  <c r="S29" i="3"/>
  <c r="I37" i="2"/>
  <c r="J37" i="3" s="1"/>
  <c r="E38" i="3"/>
  <c r="F38" i="2"/>
  <c r="C38" i="2"/>
  <c r="D38" i="2"/>
  <c r="E38" i="2" s="1"/>
  <c r="I38" i="2" s="1"/>
  <c r="J38" i="3" s="1"/>
  <c r="J37" i="2"/>
  <c r="F37" i="3" s="1"/>
  <c r="I30" i="3" l="1"/>
  <c r="L30" i="3"/>
  <c r="K38" i="2"/>
  <c r="B39" i="2" s="1"/>
  <c r="F39" i="2" s="1"/>
  <c r="G38" i="2"/>
  <c r="M38" i="3" s="1"/>
  <c r="H38" i="2"/>
  <c r="J38" i="2" s="1"/>
  <c r="F38" i="3" s="1"/>
  <c r="E39" i="3"/>
  <c r="S30" i="3" l="1"/>
  <c r="C39" i="2"/>
  <c r="N30" i="3"/>
  <c r="O30" i="3" s="1"/>
  <c r="Q30" i="3"/>
  <c r="C30" i="3"/>
  <c r="D39" i="2"/>
  <c r="E39" i="2" s="1"/>
  <c r="K39" i="2" s="1"/>
  <c r="B40" i="2" s="1"/>
  <c r="G39" i="2"/>
  <c r="H39" i="2"/>
  <c r="R38" i="3"/>
  <c r="D38" i="3"/>
  <c r="I39" i="2" l="1"/>
  <c r="J39" i="3" s="1"/>
  <c r="P30" i="3"/>
  <c r="B30" i="3"/>
  <c r="J39" i="2"/>
  <c r="F39" i="3" s="1"/>
  <c r="M39" i="3"/>
  <c r="D39" i="3" s="1"/>
  <c r="C40" i="2"/>
  <c r="D40" i="2"/>
  <c r="E40" i="2" s="1"/>
  <c r="I40" i="2" s="1"/>
  <c r="J40" i="3" s="1"/>
  <c r="F40" i="2"/>
  <c r="E40" i="3"/>
  <c r="R39" i="3" l="1"/>
  <c r="G31" i="3"/>
  <c r="H31" i="3" s="1"/>
  <c r="K31" i="3"/>
  <c r="L31" i="3" s="1"/>
  <c r="K40" i="2"/>
  <c r="B41" i="2" s="1"/>
  <c r="D41" i="2" s="1"/>
  <c r="C41" i="2"/>
  <c r="F41" i="2"/>
  <c r="E41" i="3"/>
  <c r="H40" i="2"/>
  <c r="J40" i="2" s="1"/>
  <c r="F40" i="3" s="1"/>
  <c r="G40" i="2"/>
  <c r="M40" i="3" s="1"/>
  <c r="R40" i="3" s="1"/>
  <c r="N31" i="3" l="1"/>
  <c r="O31" i="3" s="1"/>
  <c r="Q31" i="3"/>
  <c r="C31" i="3"/>
  <c r="I31" i="3"/>
  <c r="S31" i="3" s="1"/>
  <c r="E41" i="2"/>
  <c r="K41" i="2" s="1"/>
  <c r="B42" i="2" s="1"/>
  <c r="G41" i="2"/>
  <c r="H41" i="2"/>
  <c r="D40" i="3"/>
  <c r="I41" i="2" l="1"/>
  <c r="J41" i="3" s="1"/>
  <c r="J41" i="2"/>
  <c r="F41" i="3" s="1"/>
  <c r="P31" i="3"/>
  <c r="B31" i="3"/>
  <c r="M41" i="3"/>
  <c r="R41" i="3" s="1"/>
  <c r="D41" i="3"/>
  <c r="F42" i="2"/>
  <c r="E42" i="3"/>
  <c r="C42" i="2"/>
  <c r="D42" i="2"/>
  <c r="K32" i="3" l="1"/>
  <c r="L32" i="3" s="1"/>
  <c r="G32" i="3"/>
  <c r="H32" i="3" s="1"/>
  <c r="I32" i="3" s="1"/>
  <c r="S32" i="3" s="1"/>
  <c r="E42" i="2"/>
  <c r="I42" i="2"/>
  <c r="J42" i="3" s="1"/>
  <c r="K42" i="2"/>
  <c r="B43" i="2" s="1"/>
  <c r="H42" i="2"/>
  <c r="J42" i="2" s="1"/>
  <c r="F42" i="3" s="1"/>
  <c r="G42" i="2"/>
  <c r="M42" i="3" s="1"/>
  <c r="D42" i="3" s="1"/>
  <c r="N32" i="3" l="1"/>
  <c r="O32" i="3" s="1"/>
  <c r="Q32" i="3"/>
  <c r="C32" i="3"/>
  <c r="R42" i="3"/>
  <c r="F43" i="2"/>
  <c r="D43" i="2"/>
  <c r="E43" i="3"/>
  <c r="C43" i="2"/>
  <c r="P32" i="3" l="1"/>
  <c r="B32" i="3"/>
  <c r="G43" i="2"/>
  <c r="M43" i="3" s="1"/>
  <c r="H43" i="2"/>
  <c r="E43" i="2"/>
  <c r="K43" i="2" s="1"/>
  <c r="B44" i="2" s="1"/>
  <c r="G33" i="3" l="1"/>
  <c r="H33" i="3" s="1"/>
  <c r="K33" i="3"/>
  <c r="L33" i="3" s="1"/>
  <c r="I43" i="2"/>
  <c r="J43" i="3" s="1"/>
  <c r="J43" i="2"/>
  <c r="F43" i="3" s="1"/>
  <c r="E44" i="3"/>
  <c r="D44" i="2"/>
  <c r="E44" i="2" s="1"/>
  <c r="C44" i="2"/>
  <c r="F44" i="2"/>
  <c r="D43" i="3"/>
  <c r="R43" i="3"/>
  <c r="N33" i="3" l="1"/>
  <c r="O33" i="3" s="1"/>
  <c r="B33" i="3" s="1"/>
  <c r="Q33" i="3"/>
  <c r="C33" i="3"/>
  <c r="P33" i="3"/>
  <c r="I33" i="3"/>
  <c r="S33" i="3"/>
  <c r="K44" i="2"/>
  <c r="B45" i="2" s="1"/>
  <c r="E45" i="3" s="1"/>
  <c r="F45" i="2"/>
  <c r="G44" i="2"/>
  <c r="M44" i="3" s="1"/>
  <c r="R44" i="3" s="1"/>
  <c r="H44" i="2"/>
  <c r="J44" i="2" s="1"/>
  <c r="F44" i="3" s="1"/>
  <c r="I44" i="2"/>
  <c r="J44" i="3" s="1"/>
  <c r="D45" i="2" l="1"/>
  <c r="C45" i="2"/>
  <c r="G34" i="3"/>
  <c r="H34" i="3" s="1"/>
  <c r="I34" i="3" s="1"/>
  <c r="K34" i="3"/>
  <c r="L34" i="3" s="1"/>
  <c r="N34" i="3" s="1"/>
  <c r="O34" i="3" s="1"/>
  <c r="B34" i="3" s="1"/>
  <c r="E45" i="2"/>
  <c r="K45" i="2" s="1"/>
  <c r="B46" i="2" s="1"/>
  <c r="D44" i="3"/>
  <c r="H45" i="2"/>
  <c r="G45" i="2"/>
  <c r="M45" i="3" s="1"/>
  <c r="D45" i="3" s="1"/>
  <c r="S34" i="3" l="1"/>
  <c r="K35" i="3"/>
  <c r="G35" i="3"/>
  <c r="H35" i="3" s="1"/>
  <c r="J45" i="2"/>
  <c r="F45" i="3" s="1"/>
  <c r="C34" i="3"/>
  <c r="I45" i="2"/>
  <c r="J45" i="3" s="1"/>
  <c r="P34" i="3"/>
  <c r="Q34" i="3"/>
  <c r="R45" i="3"/>
  <c r="C46" i="2"/>
  <c r="D46" i="2"/>
  <c r="F46" i="2"/>
  <c r="E46" i="3"/>
  <c r="E46" i="2"/>
  <c r="I35" i="3" l="1"/>
  <c r="L35" i="3"/>
  <c r="N35" i="3" s="1"/>
  <c r="O35" i="3" s="1"/>
  <c r="K46" i="2"/>
  <c r="B47" i="2" s="1"/>
  <c r="D47" i="2" s="1"/>
  <c r="I46" i="2"/>
  <c r="J46" i="3" s="1"/>
  <c r="H46" i="2"/>
  <c r="J46" i="2" s="1"/>
  <c r="F46" i="3" s="1"/>
  <c r="G46" i="2"/>
  <c r="M46" i="3" s="1"/>
  <c r="B35" i="3" l="1"/>
  <c r="P35" i="3"/>
  <c r="C35" i="3"/>
  <c r="S35" i="3"/>
  <c r="Q35" i="3"/>
  <c r="C47" i="2"/>
  <c r="E47" i="2"/>
  <c r="F47" i="2"/>
  <c r="E47" i="3"/>
  <c r="I47" i="2"/>
  <c r="J47" i="3" s="1"/>
  <c r="D46" i="3"/>
  <c r="R46" i="3"/>
  <c r="H47" i="2"/>
  <c r="J47" i="2" s="1"/>
  <c r="F47" i="3" s="1"/>
  <c r="G47" i="2"/>
  <c r="K36" i="3" l="1"/>
  <c r="L36" i="3" s="1"/>
  <c r="N36" i="3" s="1"/>
  <c r="O36" i="3" s="1"/>
  <c r="G36" i="3"/>
  <c r="H36" i="3" s="1"/>
  <c r="I36" i="3" s="1"/>
  <c r="S36" i="3" s="1"/>
  <c r="K47" i="2"/>
  <c r="B48" i="2" s="1"/>
  <c r="M47" i="3"/>
  <c r="D47" i="3" s="1"/>
  <c r="P36" i="3" l="1"/>
  <c r="B36" i="3"/>
  <c r="C36" i="3"/>
  <c r="Q36" i="3"/>
  <c r="F48" i="2"/>
  <c r="E48" i="3"/>
  <c r="C48" i="2"/>
  <c r="D48" i="2"/>
  <c r="E48" i="2" s="1"/>
  <c r="I48" i="2" s="1"/>
  <c r="J48" i="3" s="1"/>
  <c r="R47" i="3"/>
  <c r="G37" i="3" l="1"/>
  <c r="H37" i="3" s="1"/>
  <c r="K37" i="3"/>
  <c r="L37" i="3" s="1"/>
  <c r="N37" i="3"/>
  <c r="O37" i="3" s="1"/>
  <c r="B37" i="3" s="1"/>
  <c r="Q37" i="3"/>
  <c r="C37" i="3"/>
  <c r="K48" i="2"/>
  <c r="B49" i="2" s="1"/>
  <c r="H48" i="2"/>
  <c r="J48" i="2" s="1"/>
  <c r="F48" i="3" s="1"/>
  <c r="G48" i="2"/>
  <c r="M48" i="3" s="1"/>
  <c r="D48" i="3" s="1"/>
  <c r="G38" i="3" l="1"/>
  <c r="H38" i="3" s="1"/>
  <c r="K38" i="3"/>
  <c r="L38" i="3" s="1"/>
  <c r="N38" i="3" s="1"/>
  <c r="O38" i="3" s="1"/>
  <c r="P38" i="3" s="1"/>
  <c r="P37" i="3"/>
  <c r="I38" i="3"/>
  <c r="C38" i="3"/>
  <c r="B38" i="3"/>
  <c r="K39" i="3" s="1"/>
  <c r="I37" i="3"/>
  <c r="S37" i="3" s="1"/>
  <c r="R48" i="3"/>
  <c r="D49" i="2"/>
  <c r="E49" i="3"/>
  <c r="F49" i="2"/>
  <c r="C49" i="2"/>
  <c r="E49" i="2"/>
  <c r="I49" i="2" s="1"/>
  <c r="J49" i="3" s="1"/>
  <c r="L39" i="3"/>
  <c r="N39" i="3" s="1"/>
  <c r="S38" i="3" l="1"/>
  <c r="G39" i="3"/>
  <c r="H39" i="3" s="1"/>
  <c r="I39" i="3" s="1"/>
  <c r="Q38" i="3"/>
  <c r="H49" i="2"/>
  <c r="J49" i="2" s="1"/>
  <c r="F49" i="3" s="1"/>
  <c r="G49" i="2"/>
  <c r="M49" i="3" s="1"/>
  <c r="S39" i="3"/>
  <c r="K49" i="2"/>
  <c r="B50" i="2" s="1"/>
  <c r="O39" i="3"/>
  <c r="C39" i="3"/>
  <c r="Q39" i="3"/>
  <c r="E50" i="3" l="1"/>
  <c r="D50" i="2"/>
  <c r="F50" i="2"/>
  <c r="C50" i="2"/>
  <c r="R49" i="3"/>
  <c r="D49" i="3"/>
  <c r="B39" i="3"/>
  <c r="P39" i="3"/>
  <c r="H50" i="2" l="1"/>
  <c r="G50" i="2"/>
  <c r="M50" i="3" s="1"/>
  <c r="D50" i="3" s="1"/>
  <c r="E50" i="2"/>
  <c r="I50" i="2" s="1"/>
  <c r="J50" i="3" s="1"/>
  <c r="K40" i="3"/>
  <c r="L40" i="3" s="1"/>
  <c r="G40" i="3"/>
  <c r="H40" i="3" s="1"/>
  <c r="K50" i="2" l="1"/>
  <c r="B51" i="2" s="1"/>
  <c r="C51" i="2" s="1"/>
  <c r="D51" i="2"/>
  <c r="F51" i="2"/>
  <c r="E51" i="3"/>
  <c r="E51" i="2"/>
  <c r="K51" i="2" s="1"/>
  <c r="B52" i="2" s="1"/>
  <c r="J50" i="2"/>
  <c r="F50" i="3" s="1"/>
  <c r="R50" i="3"/>
  <c r="I40" i="3"/>
  <c r="S40" i="3" s="1"/>
  <c r="N40" i="3"/>
  <c r="O40" i="3" s="1"/>
  <c r="F52" i="2" l="1"/>
  <c r="E52" i="3"/>
  <c r="C52" i="2"/>
  <c r="D52" i="2"/>
  <c r="H51" i="2"/>
  <c r="J51" i="2" s="1"/>
  <c r="F51" i="3" s="1"/>
  <c r="G51" i="2"/>
  <c r="M51" i="3" s="1"/>
  <c r="I51" i="2"/>
  <c r="J51" i="3" s="1"/>
  <c r="Q40" i="3"/>
  <c r="P40" i="3"/>
  <c r="B40" i="3"/>
  <c r="C40" i="3"/>
  <c r="R51" i="3" l="1"/>
  <c r="D51" i="3"/>
  <c r="E52" i="2"/>
  <c r="I52" i="2"/>
  <c r="J52" i="3" s="1"/>
  <c r="K52" i="2"/>
  <c r="B53" i="2" s="1"/>
  <c r="G52" i="2"/>
  <c r="M52" i="3" s="1"/>
  <c r="H52" i="2"/>
  <c r="J52" i="2" s="1"/>
  <c r="F52" i="3" s="1"/>
  <c r="G41" i="3"/>
  <c r="H41" i="3" s="1"/>
  <c r="I41" i="3" s="1"/>
  <c r="K41" i="3"/>
  <c r="L41" i="3" s="1"/>
  <c r="N41" i="3" s="1"/>
  <c r="O41" i="3" s="1"/>
  <c r="B41" i="3" s="1"/>
  <c r="D52" i="3" l="1"/>
  <c r="R52" i="3"/>
  <c r="F53" i="2"/>
  <c r="E53" i="3"/>
  <c r="D53" i="2"/>
  <c r="E53" i="2" s="1"/>
  <c r="K53" i="2" s="1"/>
  <c r="B54" i="2" s="1"/>
  <c r="C53" i="2"/>
  <c r="S41" i="3"/>
  <c r="K42" i="3"/>
  <c r="G42" i="3"/>
  <c r="H42" i="3" s="1"/>
  <c r="P41" i="3"/>
  <c r="C41" i="3"/>
  <c r="Q41" i="3"/>
  <c r="F54" i="2" l="1"/>
  <c r="C54" i="2"/>
  <c r="E54" i="3"/>
  <c r="D54" i="2"/>
  <c r="E54" i="2" s="1"/>
  <c r="I54" i="2" s="1"/>
  <c r="J54" i="3" s="1"/>
  <c r="I53" i="2"/>
  <c r="J53" i="3" s="1"/>
  <c r="H53" i="2"/>
  <c r="J53" i="2" s="1"/>
  <c r="F53" i="3" s="1"/>
  <c r="G53" i="2"/>
  <c r="M53" i="3" s="1"/>
  <c r="D53" i="3" s="1"/>
  <c r="I42" i="3"/>
  <c r="L42" i="3"/>
  <c r="N42" i="3" s="1"/>
  <c r="O42" i="3" s="1"/>
  <c r="R53" i="3" l="1"/>
  <c r="K54" i="2"/>
  <c r="B55" i="2" s="1"/>
  <c r="G54" i="2"/>
  <c r="M54" i="3" s="1"/>
  <c r="D54" i="3" s="1"/>
  <c r="H54" i="2"/>
  <c r="J54" i="2" s="1"/>
  <c r="F54" i="3" s="1"/>
  <c r="P42" i="3"/>
  <c r="B42" i="3"/>
  <c r="S42" i="3"/>
  <c r="Q42" i="3"/>
  <c r="C42" i="3"/>
  <c r="R54" i="3" l="1"/>
  <c r="F55" i="2"/>
  <c r="C55" i="2"/>
  <c r="D55" i="2"/>
  <c r="E55" i="3"/>
  <c r="K43" i="3"/>
  <c r="L43" i="3" s="1"/>
  <c r="N43" i="3" s="1"/>
  <c r="O43" i="3" s="1"/>
  <c r="G43" i="3"/>
  <c r="H43" i="3" s="1"/>
  <c r="I43" i="3" s="1"/>
  <c r="E55" i="2" l="1"/>
  <c r="K55" i="2" s="1"/>
  <c r="B56" i="2" s="1"/>
  <c r="G55" i="2"/>
  <c r="M55" i="3" s="1"/>
  <c r="H55" i="2"/>
  <c r="S43" i="3"/>
  <c r="B43" i="3"/>
  <c r="P43" i="3"/>
  <c r="C43" i="3"/>
  <c r="Q43" i="3"/>
  <c r="J55" i="2" l="1"/>
  <c r="F55" i="3" s="1"/>
  <c r="I55" i="2"/>
  <c r="J55" i="3" s="1"/>
  <c r="D55" i="3"/>
  <c r="R55" i="3"/>
  <c r="F56" i="2"/>
  <c r="D56" i="2"/>
  <c r="E56" i="2" s="1"/>
  <c r="I56" i="2" s="1"/>
  <c r="J56" i="3" s="1"/>
  <c r="E56" i="3"/>
  <c r="C56" i="2"/>
  <c r="K44" i="3"/>
  <c r="L44" i="3" s="1"/>
  <c r="N44" i="3" s="1"/>
  <c r="O44" i="3" s="1"/>
  <c r="P44" i="3" s="1"/>
  <c r="G44" i="3"/>
  <c r="H44" i="3" s="1"/>
  <c r="I44" i="3" s="1"/>
  <c r="K56" i="2" l="1"/>
  <c r="J8" i="5" s="1"/>
  <c r="H56" i="2"/>
  <c r="J56" i="2" s="1"/>
  <c r="F56" i="3" s="1"/>
  <c r="G56" i="2"/>
  <c r="M56" i="3" s="1"/>
  <c r="Y10" i="3" s="1"/>
  <c r="AA10" i="3" s="1"/>
  <c r="J6" i="5" s="1"/>
  <c r="S44" i="3"/>
  <c r="B44" i="3"/>
  <c r="G45" i="3" s="1"/>
  <c r="H45" i="3" s="1"/>
  <c r="C44" i="3"/>
  <c r="Q44" i="3"/>
  <c r="K45" i="3" l="1"/>
  <c r="R56" i="3"/>
  <c r="D56" i="3"/>
  <c r="I45" i="3"/>
  <c r="L45" i="3"/>
  <c r="S45" i="3" l="1"/>
  <c r="N45" i="3"/>
  <c r="O45" i="3" s="1"/>
  <c r="C45" i="3" l="1"/>
  <c r="B45" i="3"/>
  <c r="P45" i="3"/>
  <c r="Q45" i="3"/>
  <c r="G46" i="3" l="1"/>
  <c r="H46" i="3" s="1"/>
  <c r="I46" i="3" s="1"/>
  <c r="K46" i="3"/>
  <c r="L46" i="3" s="1"/>
  <c r="N46" i="3" l="1"/>
  <c r="O46" i="3" s="1"/>
  <c r="S46" i="3"/>
  <c r="C46" i="3" l="1"/>
  <c r="Q46" i="3"/>
  <c r="B46" i="3"/>
  <c r="P46" i="3"/>
  <c r="K47" i="3" l="1"/>
  <c r="L47" i="3" s="1"/>
  <c r="G47" i="3"/>
  <c r="H47" i="3" s="1"/>
  <c r="I47" i="3" s="1"/>
  <c r="S47" i="3" s="1"/>
  <c r="N47" i="3" l="1"/>
  <c r="O47" i="3" s="1"/>
  <c r="Q47" i="3" l="1"/>
  <c r="C47" i="3"/>
  <c r="P47" i="3"/>
  <c r="B47" i="3"/>
  <c r="G48" i="3" l="1"/>
  <c r="H48" i="3" s="1"/>
  <c r="I48" i="3" s="1"/>
  <c r="K48" i="3"/>
  <c r="L48" i="3" s="1"/>
  <c r="N48" i="3" l="1"/>
  <c r="O48" i="3" s="1"/>
  <c r="S48" i="3"/>
  <c r="Q48" i="3" l="1"/>
  <c r="C48" i="3"/>
  <c r="B48" i="3"/>
  <c r="P48" i="3"/>
  <c r="G49" i="3" l="1"/>
  <c r="H49" i="3" s="1"/>
  <c r="K49" i="3"/>
  <c r="L49" i="3" s="1"/>
  <c r="N49" i="3" l="1"/>
  <c r="O49" i="3" s="1"/>
  <c r="I49" i="3"/>
  <c r="S49" i="3" s="1"/>
  <c r="C49" i="3" l="1"/>
  <c r="Q49" i="3"/>
  <c r="B49" i="3"/>
  <c r="P49" i="3"/>
  <c r="G50" i="3" l="1"/>
  <c r="H50" i="3" s="1"/>
  <c r="I50" i="3" s="1"/>
  <c r="K50" i="3"/>
  <c r="L50" i="3" s="1"/>
  <c r="N50" i="3" l="1"/>
  <c r="O50" i="3" s="1"/>
  <c r="S50" i="3"/>
  <c r="Q50" i="3" l="1"/>
  <c r="C50" i="3"/>
  <c r="B50" i="3"/>
  <c r="P50" i="3"/>
  <c r="G51" i="3" l="1"/>
  <c r="H51" i="3" s="1"/>
  <c r="I51" i="3" s="1"/>
  <c r="K51" i="3"/>
  <c r="L51" i="3" s="1"/>
  <c r="N51" i="3" s="1"/>
  <c r="O51" i="3" s="1"/>
  <c r="B51" i="3" s="1"/>
  <c r="C51" i="3" l="1"/>
  <c r="Q51" i="3"/>
  <c r="P51" i="3"/>
  <c r="G52" i="3"/>
  <c r="H52" i="3" s="1"/>
  <c r="I52" i="3" s="1"/>
  <c r="K52" i="3"/>
  <c r="L52" i="3" s="1"/>
  <c r="N52" i="3" s="1"/>
  <c r="O52" i="3" s="1"/>
  <c r="B52" i="3" s="1"/>
  <c r="S51" i="3"/>
  <c r="C52" i="3" l="1"/>
  <c r="Q52" i="3"/>
  <c r="S52" i="3"/>
  <c r="G53" i="3"/>
  <c r="H53" i="3" s="1"/>
  <c r="K53" i="3"/>
  <c r="L53" i="3" s="1"/>
  <c r="N53" i="3" s="1"/>
  <c r="O53" i="3" s="1"/>
  <c r="P52" i="3"/>
  <c r="C53" i="3" l="1"/>
  <c r="Q53" i="3"/>
  <c r="I53" i="3"/>
  <c r="S53" i="3" s="1"/>
  <c r="B53" i="3"/>
  <c r="P53" i="3"/>
  <c r="G54" i="3" l="1"/>
  <c r="H54" i="3" s="1"/>
  <c r="K54" i="3"/>
  <c r="L54" i="3" s="1"/>
  <c r="N54" i="3" l="1"/>
  <c r="O54" i="3" s="1"/>
  <c r="I54" i="3"/>
  <c r="S54" i="3" s="1"/>
  <c r="C54" i="3" l="1"/>
  <c r="B54" i="3"/>
  <c r="P54" i="3"/>
  <c r="Q54" i="3"/>
  <c r="G55" i="3" l="1"/>
  <c r="K55" i="3"/>
  <c r="L55" i="3" l="1"/>
  <c r="H55" i="3"/>
  <c r="I55" i="3" s="1"/>
  <c r="S55" i="3" s="1"/>
  <c r="N55" i="3" l="1"/>
  <c r="C55" i="3" s="1"/>
  <c r="O55" i="3" l="1"/>
  <c r="Q55" i="3"/>
  <c r="B55" i="3" l="1"/>
  <c r="P55" i="3"/>
  <c r="K56" i="3" l="1"/>
  <c r="G56" i="3"/>
  <c r="H56" i="3" l="1"/>
  <c r="Z8" i="3"/>
  <c r="L56" i="3"/>
  <c r="X8" i="3"/>
  <c r="X9" i="3" l="1"/>
  <c r="N56" i="3"/>
  <c r="Q56" i="3" s="1"/>
  <c r="J7" i="5" s="1"/>
  <c r="I56" i="3"/>
  <c r="Z9" i="3" s="1"/>
  <c r="C56" i="3" l="1"/>
  <c r="S56" i="3"/>
  <c r="Z10" i="3" s="1"/>
  <c r="O56" i="3"/>
  <c r="Y9" i="3"/>
  <c r="AA9" i="3" s="1"/>
  <c r="B9" i="5" s="1"/>
  <c r="J5" i="5" l="1"/>
  <c r="Y8" i="3"/>
  <c r="AA8" i="3" s="1"/>
  <c r="B56" i="3"/>
  <c r="P56" i="3"/>
</calcChain>
</file>

<file path=xl/sharedStrings.xml><?xml version="1.0" encoding="utf-8"?>
<sst xmlns="http://schemas.openxmlformats.org/spreadsheetml/2006/main" count="66" uniqueCount="62">
  <si>
    <t>Initial Pool Balance</t>
  </si>
  <si>
    <t>Original Term (WAM)</t>
  </si>
  <si>
    <t>Gross WAC</t>
  </si>
  <si>
    <t>Baseline Annual CPR</t>
  </si>
  <si>
    <t>Baseline Annual CDR</t>
  </si>
  <si>
    <t>Loss Severity (SEV)</t>
  </si>
  <si>
    <t>Servicing Fee</t>
  </si>
  <si>
    <t>Default Multiplier (M)</t>
  </si>
  <si>
    <t>Stressed Annual CDR</t>
  </si>
  <si>
    <t>Single Monthly Mortality (SMM)</t>
  </si>
  <si>
    <t>Monthly Default Rate (MDR)</t>
  </si>
  <si>
    <t>Class A Tranche Share</t>
  </si>
  <si>
    <t>Class A Coupon</t>
  </si>
  <si>
    <t>Class B Tranche Share</t>
  </si>
  <si>
    <t>Class B Coupon</t>
  </si>
  <si>
    <t>Equity Tranche Share</t>
  </si>
  <si>
    <t>Period</t>
  </si>
  <si>
    <t>Beginning Balance</t>
  </si>
  <si>
    <t>Gross Interest</t>
  </si>
  <si>
    <t>Scheduled Principal</t>
  </si>
  <si>
    <t>Prepayments</t>
  </si>
  <si>
    <t>Gross Defaults</t>
  </si>
  <si>
    <t>Net Losses</t>
  </si>
  <si>
    <t>Recoveries</t>
  </si>
  <si>
    <t>Total Principal Cash</t>
  </si>
  <si>
    <t>Total Available Cash</t>
  </si>
  <si>
    <t>Ending Balance</t>
  </si>
  <si>
    <t>Class A Balance</t>
  </si>
  <si>
    <t>Class B Balance</t>
  </si>
  <si>
    <t>Equity Balance</t>
  </si>
  <si>
    <t>Senior Servicing Fee</t>
  </si>
  <si>
    <t>Cash Available After Fees</t>
  </si>
  <si>
    <t>Class A Interest Due &amp; Paid</t>
  </si>
  <si>
    <t>Cash After Class A Interest</t>
  </si>
  <si>
    <t>Class B Interest Due &amp; Paid</t>
  </si>
  <si>
    <t>Available Principal Collections</t>
  </si>
  <si>
    <t>Class A Principal Paid</t>
  </si>
  <si>
    <t>Class B Principal Paid</t>
  </si>
  <si>
    <t>Equity Loss Absorption</t>
  </si>
  <si>
    <t>Class A Ending Balance</t>
  </si>
  <si>
    <t>Residual / Excess Spread Distribution to Equity</t>
  </si>
  <si>
    <t>Tranche</t>
  </si>
  <si>
    <t>Original Balance</t>
  </si>
  <si>
    <t>Principal Repaid</t>
  </si>
  <si>
    <t>Principal Written Down</t>
  </si>
  <si>
    <t>Interest / Residual Paid</t>
  </si>
  <si>
    <t>Impairment %</t>
  </si>
  <si>
    <t>Class A</t>
  </si>
  <si>
    <t>Class B</t>
  </si>
  <si>
    <t>Equity</t>
  </si>
  <si>
    <t>Sensitivity Test / What-If Analysis</t>
  </si>
  <si>
    <t>Active Test Inputs</t>
  </si>
  <si>
    <t>Current Test Outputs</t>
  </si>
  <si>
    <t>Base Case Reference</t>
  </si>
  <si>
    <t>Class B Impairment</t>
  </si>
  <si>
    <t>Equity Impairment</t>
  </si>
  <si>
    <t>Class B Ending Balance</t>
  </si>
  <si>
    <t>Class B Impairment Sensitivity</t>
  </si>
  <si>
    <t>Pool Ending Balance</t>
  </si>
  <si>
    <t>Default Multiplier / Loss Severity</t>
  </si>
  <si>
    <t>Reset Instructions</t>
  </si>
  <si>
    <t>Set C5 = E5 and C6 = E6 to restore base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</si>
</sst>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0.0000%"/>
    <numFmt numFmtId="166" formatCode="0.00&quot;x&quot;"/>
    <numFmt numFmtId="167" formatCode="&quot;$&quot;#,##0;\(&quot;$&quot;#,##0\);\-"/>
  </numFmts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FF"/>
      <name val="Aptos Narrow"/>
      <scheme val="minor"/>
    </font>
    <font>
      <sz val="11"/>
      <color rgb="FF000000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</font>
    <font>
      <b/>
      <sz val="10"/>
      <color rgb="FFFFFFFF"/>
      <name val="Aptos Narrow"/>
      <scheme val="minor"/>
    </font>
    <font>
      <b/>
      <sz val="10"/>
      <color rgb="FF008000"/>
      <name val="Aptos Narrow"/>
      <scheme val="minor"/>
    </font>
    <font>
      <sz val="10"/>
      <color rgb="FF008000"/>
      <name val="Aptos Narrow"/>
    </font>
    <font>
      <sz val="10"/>
      <color rgb="FF008000"/>
      <name val="Aptos Narrow"/>
      <scheme val="minor"/>
    </font>
    <font>
      <sz val="10"/>
      <color rgb="FF000000"/>
      <name val="Aptos Narrow"/>
      <scheme val="minor"/>
    </font>
    <font>
      <b/>
      <sz val="10"/>
      <color rgb="FF008000"/>
      <name val="Aptos Narrow"/>
    </font>
    <font>
      <b/>
      <sz val="10"/>
      <color rgb="FF000000"/>
      <name val="Aptos Narrow"/>
      <scheme val="minor"/>
    </font>
    <font>
      <b/>
      <sz val="10"/>
      <color rgb="FF0000FF"/>
      <name val="Aptos Narrow"/>
      <scheme val="minor"/>
    </font>
    <font>
      <b/>
      <sz val="14"/>
      <color rgb="FFFFFFFF"/>
      <name val="Aptos Narrow"/>
      <scheme val="minor"/>
    </font>
    <font>
      <sz val="10"/>
      <color rgb="FF595959"/>
      <name val="Aptos Narrow"/>
      <scheme val="minor"/>
    </font>
    <font>
      <i/>
      <sz val="10"/>
      <color rgb="FF595959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1F4E78"/>
      </top>
      <bottom/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medium">
        <color rgb="FF17365D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double">
        <color rgb="FF1F4E78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 style="thin">
        <color rgb="FF9EADBA"/>
      </left>
      <right style="thin">
        <color rgb="FF9EADBA"/>
      </right>
      <top/>
      <bottom style="thin">
        <color rgb="FF9EADBA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medium">
        <color rgb="FF17365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10" fontId="5" fillId="2" borderId="0" xfId="2" applyNumberFormat="1" applyFont="1" applyFill="1" applyAlignment="1">
      <alignment horizontal="right" vertical="center"/>
    </xf>
    <xf numFmtId="10" fontId="6" fillId="3" borderId="0" xfId="2" applyNumberFormat="1" applyFont="1" applyFill="1" applyAlignment="1">
      <alignment horizontal="right" vertical="center"/>
    </xf>
    <xf numFmtId="165" fontId="6" fillId="3" borderId="0" xfId="2" applyNumberFormat="1" applyFont="1" applyFill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166" fontId="5" fillId="4" borderId="1" xfId="1" applyNumberFormat="1" applyFont="1" applyFill="1" applyBorder="1" applyAlignment="1">
      <alignment horizontal="right" vertical="center"/>
    </xf>
    <xf numFmtId="10" fontId="5" fillId="4" borderId="1" xfId="2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wrapText="1"/>
    </xf>
    <xf numFmtId="9" fontId="4" fillId="5" borderId="0" xfId="2" applyFont="1" applyFill="1" applyAlignment="1">
      <alignment horizontal="right" vertical="center"/>
    </xf>
    <xf numFmtId="10" fontId="6" fillId="5" borderId="0" xfId="2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1" fontId="5" fillId="2" borderId="0" xfId="2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6" borderId="5" xfId="0" applyFont="1" applyFill="1" applyBorder="1" applyAlignment="1">
      <alignment horizontal="center" vertical="center" wrapText="1"/>
    </xf>
    <xf numFmtId="1" fontId="7" fillId="4" borderId="4" xfId="0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67" fontId="7" fillId="4" borderId="4" xfId="0" applyNumberFormat="1" applyFont="1" applyFill="1" applyBorder="1" applyAlignment="1">
      <alignment horizontal="right" vertical="center"/>
    </xf>
    <xf numFmtId="167" fontId="9" fillId="0" borderId="3" xfId="0" applyNumberFormat="1" applyFont="1" applyBorder="1" applyAlignment="1">
      <alignment horizontal="right" vertical="center"/>
    </xf>
    <xf numFmtId="1" fontId="7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center" vertical="center"/>
    </xf>
    <xf numFmtId="167" fontId="9" fillId="0" borderId="6" xfId="0" applyNumberFormat="1" applyFont="1" applyBorder="1" applyAlignment="1">
      <alignment horizontal="right" vertical="center"/>
    </xf>
    <xf numFmtId="167" fontId="11" fillId="4" borderId="4" xfId="0" applyNumberFormat="1" applyFont="1" applyFill="1" applyBorder="1" applyAlignment="1">
      <alignment horizontal="right" vertical="center"/>
    </xf>
    <xf numFmtId="167" fontId="12" fillId="0" borderId="3" xfId="0" applyNumberFormat="1" applyFont="1" applyBorder="1" applyAlignment="1">
      <alignment horizontal="right" vertical="center"/>
    </xf>
    <xf numFmtId="167" fontId="13" fillId="0" borderId="3" xfId="0" applyNumberFormat="1" applyFont="1" applyBorder="1" applyAlignment="1">
      <alignment horizontal="right" vertical="center"/>
    </xf>
    <xf numFmtId="167" fontId="14" fillId="0" borderId="3" xfId="0" applyNumberFormat="1" applyFont="1" applyBorder="1" applyAlignment="1">
      <alignment horizontal="right" vertical="center"/>
    </xf>
    <xf numFmtId="167" fontId="12" fillId="0" borderId="2" xfId="0" applyNumberFormat="1" applyFont="1" applyBorder="1" applyAlignment="1">
      <alignment horizontal="right" vertical="center"/>
    </xf>
    <xf numFmtId="167" fontId="13" fillId="0" borderId="2" xfId="0" applyNumberFormat="1" applyFont="1" applyBorder="1" applyAlignment="1">
      <alignment horizontal="right" vertical="center"/>
    </xf>
    <xf numFmtId="167" fontId="14" fillId="0" borderId="2" xfId="0" applyNumberFormat="1" applyFont="1" applyBorder="1" applyAlignment="1">
      <alignment horizontal="right" vertical="center"/>
    </xf>
    <xf numFmtId="167" fontId="12" fillId="0" borderId="6" xfId="0" applyNumberFormat="1" applyFont="1" applyBorder="1" applyAlignment="1">
      <alignment horizontal="right" vertical="center"/>
    </xf>
    <xf numFmtId="167" fontId="13" fillId="0" borderId="6" xfId="0" applyNumberFormat="1" applyFont="1" applyBorder="1" applyAlignment="1">
      <alignment horizontal="right" vertical="center"/>
    </xf>
    <xf numFmtId="167" fontId="14" fillId="0" borderId="6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1" fontId="8" fillId="0" borderId="3" xfId="0" applyNumberFormat="1" applyFont="1" applyBorder="1" applyAlignment="1">
      <alignment horizontal="center" vertical="center"/>
    </xf>
    <xf numFmtId="167" fontId="7" fillId="4" borderId="4" xfId="0" applyNumberFormat="1" applyFont="1" applyFill="1" applyBorder="1" applyAlignment="1">
      <alignment horizontal="right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167" fontId="15" fillId="4" borderId="4" xfId="0" applyNumberFormat="1" applyFont="1" applyFill="1" applyBorder="1" applyAlignment="1">
      <alignment horizontal="right" vertical="center"/>
    </xf>
    <xf numFmtId="167" fontId="11" fillId="4" borderId="4" xfId="0" applyNumberFormat="1" applyFont="1" applyFill="1" applyBorder="1" applyAlignment="1">
      <alignment horizontal="right" vertical="center" wrapText="1"/>
    </xf>
    <xf numFmtId="167" fontId="14" fillId="0" borderId="3" xfId="0" applyNumberFormat="1" applyFont="1" applyBorder="1" applyAlignment="1">
      <alignment horizontal="right" vertical="center" wrapText="1"/>
    </xf>
    <xf numFmtId="167" fontId="14" fillId="0" borderId="2" xfId="0" applyNumberFormat="1" applyFont="1" applyBorder="1" applyAlignment="1">
      <alignment horizontal="right" vertical="center" wrapText="1"/>
    </xf>
    <xf numFmtId="167" fontId="14" fillId="0" borderId="6" xfId="0" applyNumberFormat="1" applyFont="1" applyBorder="1" applyAlignment="1">
      <alignment horizontal="right" vertical="center" wrapText="1"/>
    </xf>
    <xf numFmtId="167" fontId="16" fillId="4" borderId="8" xfId="1" applyNumberFormat="1" applyFont="1" applyFill="1" applyBorder="1" applyAlignment="1">
      <alignment horizontal="right" vertical="center" wrapText="1"/>
    </xf>
    <xf numFmtId="167" fontId="16" fillId="4" borderId="8" xfId="0" applyNumberFormat="1" applyFont="1" applyFill="1" applyBorder="1" applyAlignment="1">
      <alignment horizontal="right" vertical="center" wrapText="1"/>
    </xf>
    <xf numFmtId="167" fontId="14" fillId="3" borderId="7" xfId="1" applyNumberFormat="1" applyFont="1" applyFill="1" applyBorder="1" applyAlignment="1">
      <alignment horizontal="righ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5" borderId="7" xfId="1" applyNumberFormat="1" applyFont="1" applyFill="1" applyBorder="1" applyAlignment="1">
      <alignment horizontal="right" vertical="center"/>
    </xf>
    <xf numFmtId="167" fontId="14" fillId="5" borderId="7" xfId="0" applyNumberFormat="1" applyFont="1" applyFill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166" fontId="17" fillId="2" borderId="10" xfId="0" applyNumberFormat="1" applyFont="1" applyFill="1" applyBorder="1" applyAlignment="1">
      <alignment horizontal="right" vertical="center"/>
    </xf>
    <xf numFmtId="164" fontId="8" fillId="0" borderId="10" xfId="0" applyNumberFormat="1" applyFont="1" applyBorder="1" applyAlignment="1">
      <alignment horizontal="right" vertical="center"/>
    </xf>
    <xf numFmtId="10" fontId="16" fillId="7" borderId="7" xfId="0" applyNumberFormat="1" applyFont="1" applyFill="1" applyBorder="1" applyAlignment="1">
      <alignment horizontal="right" vertical="center"/>
    </xf>
    <xf numFmtId="10" fontId="16" fillId="4" borderId="8" xfId="0" applyNumberFormat="1" applyFont="1" applyFill="1" applyBorder="1" applyAlignment="1">
      <alignment horizontal="right" vertical="center" wrapText="1"/>
    </xf>
    <xf numFmtId="10" fontId="14" fillId="5" borderId="7" xfId="0" applyNumberFormat="1" applyFont="1" applyFill="1" applyBorder="1" applyAlignment="1">
      <alignment horizontal="right" vertical="center"/>
    </xf>
    <xf numFmtId="0" fontId="18" fillId="6" borderId="0" xfId="0" applyFont="1" applyFill="1" applyAlignment="1">
      <alignment horizontal="left" vertical="center"/>
    </xf>
    <xf numFmtId="0" fontId="10" fillId="8" borderId="0" xfId="0" applyFont="1" applyFill="1" applyAlignment="1">
      <alignment vertical="center"/>
    </xf>
    <xf numFmtId="166" fontId="17" fillId="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 wrapText="1"/>
    </xf>
    <xf numFmtId="164" fontId="17" fillId="2" borderId="0" xfId="0" applyNumberFormat="1" applyFont="1" applyFill="1" applyAlignment="1">
      <alignment horizontal="right" vertical="center"/>
    </xf>
    <xf numFmtId="164" fontId="19" fillId="3" borderId="0" xfId="0" applyNumberFormat="1" applyFont="1" applyFill="1" applyAlignment="1">
      <alignment horizontal="right" vertical="center"/>
    </xf>
    <xf numFmtId="166" fontId="19" fillId="3" borderId="0" xfId="0" applyNumberFormat="1" applyFont="1" applyFill="1" applyAlignment="1">
      <alignment horizontal="right" vertical="center"/>
    </xf>
    <xf numFmtId="164" fontId="11" fillId="3" borderId="0" xfId="0" applyNumberFormat="1" applyFont="1" applyFill="1" applyAlignment="1">
      <alignment horizontal="right" vertical="center"/>
    </xf>
    <xf numFmtId="167" fontId="11" fillId="3" borderId="0" xfId="0" applyNumberFormat="1" applyFont="1" applyFill="1" applyAlignment="1">
      <alignment horizontal="right" vertical="center"/>
    </xf>
    <xf numFmtId="0" fontId="10" fillId="6" borderId="10" xfId="0" applyFont="1" applyFill="1" applyBorder="1" applyAlignment="1">
      <alignment horizontal="left" vertical="center" wrapText="1"/>
    </xf>
    <xf numFmtId="164" fontId="10" fillId="6" borderId="10" xfId="0" applyNumberFormat="1" applyFont="1" applyFill="1" applyBorder="1" applyAlignment="1">
      <alignment horizontal="center" vertical="center" wrapText="1"/>
    </xf>
    <xf numFmtId="10" fontId="11" fillId="4" borderId="10" xfId="0" applyNumberFormat="1" applyFont="1" applyFill="1" applyBorder="1" applyAlignment="1">
      <alignment horizontal="right" vertical="center" wrapText="1"/>
    </xf>
    <xf numFmtId="10" fontId="11" fillId="3" borderId="0" xfId="0" applyNumberFormat="1" applyFont="1" applyFill="1" applyAlignment="1">
      <alignment horizontal="right" vertical="center"/>
    </xf>
    <xf numFmtId="0" fontId="10" fillId="6" borderId="5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8155C1-3712-FA44-A76F-4BD7E5D8CBB8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074F-D9EF-A546-B56D-37C946B0E509}">
  <dimension ref="A3:B23"/>
  <sheetViews>
    <sheetView showGridLines="0" topLeftCell="A5" workbookViewId="0"/>
  </sheetViews>
  <sheetFormatPr defaultColWidth="11" defaultRowHeight="15.95"/>
  <cols>
    <col min="1" max="1" width="39.125" customWidth="1"/>
    <col min="2" max="2" width="17.5" customWidth="1"/>
  </cols>
  <sheetData>
    <row r="3" spans="1:2" ht="17.100000000000001" thickBot="1"/>
    <row r="4" spans="1:2" ht="18.95" customHeight="1">
      <c r="A4" s="8" t="s">
        <v>0</v>
      </c>
      <c r="B4" s="15">
        <v>500000000</v>
      </c>
    </row>
    <row r="5" spans="1:2" ht="18.95" customHeight="1">
      <c r="A5" s="4" t="s">
        <v>1</v>
      </c>
      <c r="B5" s="16">
        <v>48</v>
      </c>
    </row>
    <row r="6" spans="1:2" ht="18.95" customHeight="1">
      <c r="A6" s="4" t="s">
        <v>2</v>
      </c>
      <c r="B6" s="5">
        <v>0.14499999999999999</v>
      </c>
    </row>
    <row r="7" spans="1:2" ht="18.95" customHeight="1">
      <c r="A7" s="4" t="s">
        <v>3</v>
      </c>
      <c r="B7" s="5">
        <v>0.12</v>
      </c>
    </row>
    <row r="8" spans="1:2" ht="18.95" customHeight="1">
      <c r="A8" s="4" t="s">
        <v>4</v>
      </c>
      <c r="B8" s="5">
        <v>0.08</v>
      </c>
    </row>
    <row r="9" spans="1:2" ht="18.95" customHeight="1">
      <c r="A9" s="4" t="s">
        <v>5</v>
      </c>
      <c r="B9" s="5">
        <f>Sensitivity_Matrix!$C$5</f>
        <v>0.65</v>
      </c>
    </row>
    <row r="10" spans="1:2" ht="18.95" customHeight="1">
      <c r="A10" s="4" t="s">
        <v>6</v>
      </c>
      <c r="B10" s="5">
        <v>5.0000000000000001E-3</v>
      </c>
    </row>
    <row r="11" spans="1:2" ht="18.95" customHeight="1" thickBot="1">
      <c r="A11" s="11"/>
      <c r="B11" s="12"/>
    </row>
    <row r="12" spans="1:2" ht="18.95" customHeight="1">
      <c r="A12" s="8" t="s">
        <v>7</v>
      </c>
      <c r="B12" s="9">
        <f>Sensitivity_Matrix!$C$6</f>
        <v>1</v>
      </c>
    </row>
    <row r="13" spans="1:2" ht="18.95" customHeight="1">
      <c r="A13" s="4" t="s">
        <v>8</v>
      </c>
      <c r="B13" s="6">
        <f>B8*B12</f>
        <v>0.08</v>
      </c>
    </row>
    <row r="14" spans="1:2" ht="8.1" customHeight="1">
      <c r="A14" s="11"/>
      <c r="B14" s="13"/>
    </row>
    <row r="15" spans="1:2" ht="18.95" customHeight="1">
      <c r="A15" s="4" t="s">
        <v>9</v>
      </c>
      <c r="B15" s="7">
        <f>1-(1-B7)^(1/12)</f>
        <v>1.0596241035318976E-2</v>
      </c>
    </row>
    <row r="16" spans="1:2" ht="18.95" customHeight="1">
      <c r="A16" s="4" t="s">
        <v>10</v>
      </c>
      <c r="B16" s="7">
        <f>1-(1-B13)^(1/12)</f>
        <v>6.9243826282994192E-3</v>
      </c>
    </row>
    <row r="17" spans="1:2" ht="8.1" customHeight="1">
      <c r="A17" s="11"/>
      <c r="B17" s="14"/>
    </row>
    <row r="18" spans="1:2" ht="15.95" customHeight="1" thickBot="1">
      <c r="A18" s="11"/>
      <c r="B18" s="14"/>
    </row>
    <row r="19" spans="1:2" ht="18.95" customHeight="1">
      <c r="A19" s="8" t="s">
        <v>11</v>
      </c>
      <c r="B19" s="10">
        <v>0.75</v>
      </c>
    </row>
    <row r="20" spans="1:2" ht="18.95" customHeight="1">
      <c r="A20" s="4" t="s">
        <v>12</v>
      </c>
      <c r="B20" s="5">
        <v>5.7500000000000002E-2</v>
      </c>
    </row>
    <row r="21" spans="1:2" ht="18.95" customHeight="1">
      <c r="A21" s="4" t="s">
        <v>13</v>
      </c>
      <c r="B21" s="5">
        <v>0.17</v>
      </c>
    </row>
    <row r="22" spans="1:2" ht="18.95" customHeight="1">
      <c r="A22" s="4" t="s">
        <v>14</v>
      </c>
      <c r="B22" s="5">
        <v>8.2500000000000004E-2</v>
      </c>
    </row>
    <row r="23" spans="1:2" ht="18.95" customHeight="1">
      <c r="A23" s="4" t="s">
        <v>15</v>
      </c>
      <c r="B23" s="5">
        <v>0.08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3E5E-E12A-7A4D-98E0-B23C2F3222A4}">
  <dimension ref="A7:K57"/>
  <sheetViews>
    <sheetView showGridLines="0" topLeftCell="K4" workbookViewId="0">
      <selection activeCell="C3" sqref="C3"/>
    </sheetView>
  </sheetViews>
  <sheetFormatPr defaultColWidth="11" defaultRowHeight="15.95"/>
  <cols>
    <col min="1" max="1" width="8.625" style="3" customWidth="1"/>
    <col min="2" max="11" width="17" customWidth="1"/>
  </cols>
  <sheetData>
    <row r="7" spans="1:11" s="2" customFormat="1" ht="42" customHeight="1" thickBot="1">
      <c r="A7" s="19" t="s">
        <v>16</v>
      </c>
      <c r="B7" s="19" t="s">
        <v>17</v>
      </c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19" t="s">
        <v>23</v>
      </c>
      <c r="I7" s="19" t="s">
        <v>24</v>
      </c>
      <c r="J7" s="19" t="s">
        <v>25</v>
      </c>
      <c r="K7" s="19" t="s">
        <v>26</v>
      </c>
    </row>
    <row r="8" spans="1:11" ht="21" customHeight="1">
      <c r="A8" s="20">
        <v>0</v>
      </c>
      <c r="B8" s="22"/>
      <c r="C8" s="22"/>
      <c r="D8" s="22"/>
      <c r="E8" s="22"/>
      <c r="F8" s="22"/>
      <c r="G8" s="22"/>
      <c r="H8" s="22"/>
      <c r="I8" s="22"/>
      <c r="J8" s="22"/>
      <c r="K8" s="28">
        <f>Inputs_Assumptions!$B$4</f>
        <v>500000000</v>
      </c>
    </row>
    <row r="9" spans="1:11" ht="18" customHeight="1">
      <c r="A9" s="21">
        <v>1</v>
      </c>
      <c r="B9" s="23">
        <f t="shared" ref="B9:B56" si="0">K8</f>
        <v>500000000</v>
      </c>
      <c r="C9" s="29">
        <f>B9*(Inputs_Assumptions!$B$6/12)</f>
        <v>6041666.666666667</v>
      </c>
      <c r="D9" s="30">
        <f>IF(B9&lt;=0,0,MIN(B9,PPMT(Inputs_Assumptions!$B$6/12,A9,Inputs_Assumptions!$B$5,-Inputs_Assumptions!$B$4)))</f>
        <v>7747309.7590776095</v>
      </c>
      <c r="E9" s="30">
        <f>MAX(0,(B9-D9)*Inputs_Assumptions!$B$15)</f>
        <v>5216028.1560770227</v>
      </c>
      <c r="F9" s="30">
        <f>B9*Inputs_Assumptions!$B$16</f>
        <v>3462191.3141497094</v>
      </c>
      <c r="G9" s="30">
        <f>F9*Inputs_Assumptions!$B$9</f>
        <v>2250424.3541973112</v>
      </c>
      <c r="H9" s="30">
        <f>F9*(1-Inputs_Assumptions!$B$9)</f>
        <v>1211766.9599523982</v>
      </c>
      <c r="I9" s="31">
        <f t="shared" ref="I9:I56" si="1">D9+E9</f>
        <v>12963337.915154632</v>
      </c>
      <c r="J9" s="31">
        <f t="shared" ref="J9:J56" si="2">C9+D9+E9+H9</f>
        <v>20216771.541773699</v>
      </c>
      <c r="K9" s="31">
        <f t="shared" ref="K9:K56" si="3">MAX(0,B9-D9-E9-F9)</f>
        <v>483574470.77069563</v>
      </c>
    </row>
    <row r="10" spans="1:11" ht="18" customHeight="1">
      <c r="A10" s="21">
        <f t="shared" ref="A10:A56" si="4">A9+1</f>
        <v>2</v>
      </c>
      <c r="B10" s="23">
        <f t="shared" si="0"/>
        <v>483574470.77069563</v>
      </c>
      <c r="C10" s="29">
        <f>B10*(Inputs_Assumptions!$B$6/12)</f>
        <v>5843191.5218125721</v>
      </c>
      <c r="D10" s="30">
        <f>IF(B10&lt;=0,0,MIN(B10,PPMT(Inputs_Assumptions!$B$6/12,1,Inputs_Assumptions!$B$5-A10+1,-B10)))</f>
        <v>7702690.7247331599</v>
      </c>
      <c r="E10" s="30">
        <f>MAX(0,(B10-D10)*Inputs_Assumptions!$B$15)</f>
        <v>5042452.083273313</v>
      </c>
      <c r="F10" s="30">
        <f>B10*Inputs_Assumptions!$B$16</f>
        <v>3348454.66489369</v>
      </c>
      <c r="G10" s="30">
        <f>F10*Inputs_Assumptions!$B$9</f>
        <v>2176495.5321808988</v>
      </c>
      <c r="H10" s="30">
        <f>F10*(1-Inputs_Assumptions!$B$9)</f>
        <v>1171959.1327127914</v>
      </c>
      <c r="I10" s="31">
        <f t="shared" si="1"/>
        <v>12745142.808006473</v>
      </c>
      <c r="J10" s="31">
        <f t="shared" si="2"/>
        <v>19760293.462531839</v>
      </c>
      <c r="K10" s="31">
        <f t="shared" si="3"/>
        <v>467480873.29779547</v>
      </c>
    </row>
    <row r="11" spans="1:11" ht="18" customHeight="1">
      <c r="A11" s="21">
        <f t="shared" si="4"/>
        <v>3</v>
      </c>
      <c r="B11" s="23">
        <f t="shared" si="0"/>
        <v>467480873.29779547</v>
      </c>
      <c r="C11" s="29">
        <f>B11*(Inputs_Assumptions!$B$6/12)</f>
        <v>5648727.2190150283</v>
      </c>
      <c r="D11" s="30">
        <f>IF(B11&lt;=0,0,MIN(B11,PPMT(Inputs_Assumptions!$B$6/12,1,Inputs_Assumptions!$B$5-A11+1,-B11)))</f>
        <v>7658304.4809791958</v>
      </c>
      <c r="E11" s="30">
        <f>MAX(0,(B11-D11)*Inputs_Assumptions!$B$15)</f>
        <v>4872390.7726625325</v>
      </c>
      <c r="F11" s="30">
        <f>B11*Inputs_Assumptions!$B$16</f>
        <v>3237016.4381254967</v>
      </c>
      <c r="G11" s="30">
        <f>F11*Inputs_Assumptions!$B$9</f>
        <v>2104060.6847815728</v>
      </c>
      <c r="H11" s="30">
        <f>F11*(1-Inputs_Assumptions!$B$9)</f>
        <v>1132955.7533439237</v>
      </c>
      <c r="I11" s="31">
        <f t="shared" si="1"/>
        <v>12530695.253641728</v>
      </c>
      <c r="J11" s="31">
        <f t="shared" si="2"/>
        <v>19312378.226000682</v>
      </c>
      <c r="K11" s="31">
        <f t="shared" si="3"/>
        <v>451713161.60602826</v>
      </c>
    </row>
    <row r="12" spans="1:11" ht="18" customHeight="1">
      <c r="A12" s="21">
        <f t="shared" si="4"/>
        <v>4</v>
      </c>
      <c r="B12" s="23">
        <f t="shared" si="0"/>
        <v>451713161.60602826</v>
      </c>
      <c r="C12" s="29">
        <f>B12*(Inputs_Assumptions!$B$6/12)</f>
        <v>5458200.7027395079</v>
      </c>
      <c r="D12" s="30">
        <f>IF(B12&lt;=0,0,MIN(B12,PPMT(Inputs_Assumptions!$B$6/12,1,Inputs_Assumptions!$B$5-A12+1,-B12)))</f>
        <v>7614148.8695379542</v>
      </c>
      <c r="E12" s="30">
        <f>MAX(0,(B12-D12)*Inputs_Assumptions!$B$15)</f>
        <v>4705780.1825030437</v>
      </c>
      <c r="F12" s="30">
        <f>B12*Inputs_Assumptions!$B$16</f>
        <v>3127834.7691989904</v>
      </c>
      <c r="G12" s="30">
        <f>F12*Inputs_Assumptions!$B$9</f>
        <v>2033092.5999793438</v>
      </c>
      <c r="H12" s="30">
        <f>F12*(1-Inputs_Assumptions!$B$9)</f>
        <v>1094742.1692196466</v>
      </c>
      <c r="I12" s="31">
        <f t="shared" si="1"/>
        <v>12319929.052040998</v>
      </c>
      <c r="J12" s="31">
        <f t="shared" si="2"/>
        <v>18872871.924000151</v>
      </c>
      <c r="K12" s="31">
        <f t="shared" si="3"/>
        <v>436265397.78478825</v>
      </c>
    </row>
    <row r="13" spans="1:11" ht="18" customHeight="1">
      <c r="A13" s="21">
        <f t="shared" si="4"/>
        <v>5</v>
      </c>
      <c r="B13" s="23">
        <f t="shared" si="0"/>
        <v>436265397.78478825</v>
      </c>
      <c r="C13" s="29">
        <f>B13*(Inputs_Assumptions!$B$6/12)</f>
        <v>5271540.2232328579</v>
      </c>
      <c r="D13" s="30">
        <f>IF(B13&lt;=0,0,MIN(B13,PPMT(Inputs_Assumptions!$B$6/12,1,Inputs_Assumptions!$B$5-A13+1,-B13)))</f>
        <v>7570221.6869999003</v>
      </c>
      <c r="E13" s="30">
        <f>MAX(0,(B13-D13)*Inputs_Assumptions!$B$15)</f>
        <v>4542557.4166106796</v>
      </c>
      <c r="F13" s="30">
        <f>B13*Inputs_Assumptions!$B$16</f>
        <v>3020868.5417491235</v>
      </c>
      <c r="G13" s="30">
        <f>F13*Inputs_Assumptions!$B$9</f>
        <v>1963564.5521369304</v>
      </c>
      <c r="H13" s="30">
        <f>F13*(1-Inputs_Assumptions!$B$9)</f>
        <v>1057303.9896121931</v>
      </c>
      <c r="I13" s="31">
        <f t="shared" si="1"/>
        <v>12112779.103610579</v>
      </c>
      <c r="J13" s="31">
        <f t="shared" si="2"/>
        <v>18441623.316455629</v>
      </c>
      <c r="K13" s="31">
        <f t="shared" si="3"/>
        <v>421131750.13942856</v>
      </c>
    </row>
    <row r="14" spans="1:11" ht="18" customHeight="1">
      <c r="A14" s="21">
        <f t="shared" si="4"/>
        <v>6</v>
      </c>
      <c r="B14" s="23">
        <f t="shared" si="0"/>
        <v>421131750.13942856</v>
      </c>
      <c r="C14" s="29">
        <f>B14*(Inputs_Assumptions!$B$6/12)</f>
        <v>5088675.3141847616</v>
      </c>
      <c r="D14" s="30">
        <f>IF(B14&lt;=0,0,MIN(B14,PPMT(Inputs_Assumptions!$B$6/12,1,Inputs_Assumptions!$B$5-A14+1,-B14)))</f>
        <v>7526520.6797551243</v>
      </c>
      <c r="E14" s="30">
        <f>MAX(0,(B14-D14)*Inputs_Assumptions!$B$15)</f>
        <v>4382660.7048231121</v>
      </c>
      <c r="F14" s="30">
        <f>B14*Inputs_Assumptions!$B$16</f>
        <v>2916077.3748907908</v>
      </c>
      <c r="G14" s="30">
        <f>F14*Inputs_Assumptions!$B$9</f>
        <v>1895450.2936790141</v>
      </c>
      <c r="H14" s="30">
        <f>F14*(1-Inputs_Assumptions!$B$9)</f>
        <v>1020627.0812117767</v>
      </c>
      <c r="I14" s="31">
        <f t="shared" si="1"/>
        <v>11909181.384578235</v>
      </c>
      <c r="J14" s="31">
        <f t="shared" si="2"/>
        <v>18018483.779974774</v>
      </c>
      <c r="K14" s="31">
        <f t="shared" si="3"/>
        <v>406306491.37995946</v>
      </c>
    </row>
    <row r="15" spans="1:11" ht="18" customHeight="1">
      <c r="A15" s="21">
        <f t="shared" si="4"/>
        <v>7</v>
      </c>
      <c r="B15" s="23">
        <f t="shared" si="0"/>
        <v>406306491.37995946</v>
      </c>
      <c r="C15" s="29">
        <f>B15*(Inputs_Assumptions!$B$6/12)</f>
        <v>4909536.7708411766</v>
      </c>
      <c r="D15" s="30">
        <f>IF(B15&lt;=0,0,MIN(B15,PPMT(Inputs_Assumptions!$B$6/12,1,Inputs_Assumptions!$B$5-A15+1,-B15)))</f>
        <v>7483043.5383204734</v>
      </c>
      <c r="E15" s="30">
        <f>MAX(0,(B15-D15)*Inputs_Assumptions!$B$15)</f>
        <v>4226029.3838669723</v>
      </c>
      <c r="F15" s="30">
        <f>B15*Inputs_Assumptions!$B$16</f>
        <v>2813421.6106766788</v>
      </c>
      <c r="G15" s="30">
        <f>F15*Inputs_Assumptions!$B$9</f>
        <v>1828724.0469398412</v>
      </c>
      <c r="H15" s="30">
        <f>F15*(1-Inputs_Assumptions!$B$9)</f>
        <v>984697.56373683747</v>
      </c>
      <c r="I15" s="31">
        <f t="shared" si="1"/>
        <v>11709072.922187446</v>
      </c>
      <c r="J15" s="31">
        <f t="shared" si="2"/>
        <v>17603307.256765459</v>
      </c>
      <c r="K15" s="31">
        <f t="shared" si="3"/>
        <v>391783996.84709531</v>
      </c>
    </row>
    <row r="16" spans="1:11" ht="18" customHeight="1">
      <c r="A16" s="21">
        <f t="shared" si="4"/>
        <v>8</v>
      </c>
      <c r="B16" s="23">
        <f t="shared" si="0"/>
        <v>391783996.84709531</v>
      </c>
      <c r="C16" s="29">
        <f>B16*(Inputs_Assumptions!$B$6/12)</f>
        <v>4734056.6285690684</v>
      </c>
      <c r="D16" s="30">
        <f>IF(B16&lt;=0,0,MIN(B16,PPMT(Inputs_Assumptions!$B$6/12,1,Inputs_Assumptions!$B$5-A16+1,-B16)))</f>
        <v>7439787.8909733882</v>
      </c>
      <c r="E16" s="30">
        <f>MAX(0,(B16-D16)*Inputs_Assumptions!$B$15)</f>
        <v>4072603.8786280705</v>
      </c>
      <c r="F16" s="30">
        <f>B16*Inputs_Assumptions!$B$16</f>
        <v>2712862.3018137412</v>
      </c>
      <c r="G16" s="30">
        <f>F16*Inputs_Assumptions!$B$9</f>
        <v>1763360.4961789318</v>
      </c>
      <c r="H16" s="30">
        <f>F16*(1-Inputs_Assumptions!$B$9)</f>
        <v>949501.80563480931</v>
      </c>
      <c r="I16" s="31">
        <f t="shared" si="1"/>
        <v>11512391.769601459</v>
      </c>
      <c r="J16" s="31">
        <f t="shared" si="2"/>
        <v>17195950.203805335</v>
      </c>
      <c r="K16" s="31">
        <f t="shared" si="3"/>
        <v>377558742.77568012</v>
      </c>
    </row>
    <row r="17" spans="1:11" ht="18" customHeight="1">
      <c r="A17" s="21">
        <f t="shared" si="4"/>
        <v>9</v>
      </c>
      <c r="B17" s="23">
        <f t="shared" si="0"/>
        <v>377558742.77568012</v>
      </c>
      <c r="C17" s="29">
        <f>B17*(Inputs_Assumptions!$B$6/12)</f>
        <v>4562168.1418728018</v>
      </c>
      <c r="D17" s="30">
        <f>IF(B17&lt;=0,0,MIN(B17,PPMT(Inputs_Assumptions!$B$6/12,1,Inputs_Assumptions!$B$5-A17+1,-B17)))</f>
        <v>7396751.2965876022</v>
      </c>
      <c r="E17" s="30">
        <f>MAX(0,(B17-D17)*Inputs_Assumptions!$B$15)</f>
        <v>3922325.6838261536</v>
      </c>
      <c r="F17" s="30">
        <f>B17*Inputs_Assumptions!$B$16</f>
        <v>2614361.1996384882</v>
      </c>
      <c r="G17" s="30">
        <f>F17*Inputs_Assumptions!$B$9</f>
        <v>1699334.7797650173</v>
      </c>
      <c r="H17" s="30">
        <f>F17*(1-Inputs_Assumptions!$B$9)</f>
        <v>915026.41987347079</v>
      </c>
      <c r="I17" s="31">
        <f t="shared" si="1"/>
        <v>11319076.980413755</v>
      </c>
      <c r="J17" s="31">
        <f t="shared" si="2"/>
        <v>16796271.54216003</v>
      </c>
      <c r="K17" s="31">
        <f t="shared" si="3"/>
        <v>363625304.5956279</v>
      </c>
    </row>
    <row r="18" spans="1:11" ht="18" customHeight="1">
      <c r="A18" s="21">
        <f t="shared" si="4"/>
        <v>10</v>
      </c>
      <c r="B18" s="23">
        <f t="shared" si="0"/>
        <v>363625304.5956279</v>
      </c>
      <c r="C18" s="29">
        <f>B18*(Inputs_Assumptions!$B$6/12)</f>
        <v>4393805.7638638373</v>
      </c>
      <c r="D18" s="30">
        <f>IF(B18&lt;=0,0,MIN(B18,PPMT(Inputs_Assumptions!$B$6/12,1,Inputs_Assumptions!$B$5-A18+1,-B18)))</f>
        <v>7353931.2365471171</v>
      </c>
      <c r="E18" s="30">
        <f>MAX(0,(B18-D18)*Inputs_Assumptions!$B$15)</f>
        <v>3775137.3460969399</v>
      </c>
      <c r="F18" s="30">
        <f>B18*Inputs_Assumptions!$B$16</f>
        <v>2517880.7423520507</v>
      </c>
      <c r="G18" s="30">
        <f>F18*Inputs_Assumptions!$B$9</f>
        <v>1636622.482528833</v>
      </c>
      <c r="H18" s="30">
        <f>F18*(1-Inputs_Assumptions!$B$9)</f>
        <v>881258.25982321776</v>
      </c>
      <c r="I18" s="31">
        <f t="shared" si="1"/>
        <v>11129068.582644057</v>
      </c>
      <c r="J18" s="31">
        <f t="shared" si="2"/>
        <v>16404132.606331114</v>
      </c>
      <c r="K18" s="31">
        <f t="shared" si="3"/>
        <v>349978355.27063179</v>
      </c>
    </row>
    <row r="19" spans="1:11" ht="18" customHeight="1">
      <c r="A19" s="21">
        <f t="shared" si="4"/>
        <v>11</v>
      </c>
      <c r="B19" s="23">
        <f t="shared" si="0"/>
        <v>349978355.27063179</v>
      </c>
      <c r="C19" s="29">
        <f>B19*(Inputs_Assumptions!$B$6/12)</f>
        <v>4228905.1261868011</v>
      </c>
      <c r="D19" s="30">
        <f>IF(B19&lt;=0,0,MIN(B19,PPMT(Inputs_Assumptions!$B$6/12,1,Inputs_Assumptions!$B$5-A19+1,-B19)))</f>
        <v>7311325.1055918718</v>
      </c>
      <c r="E19" s="30">
        <f>MAX(0,(B19-D19)*Inputs_Assumptions!$B$15)</f>
        <v>3630982.446485681</v>
      </c>
      <c r="F19" s="30">
        <f>B19*Inputs_Assumptions!$B$16</f>
        <v>2423384.0435167653</v>
      </c>
      <c r="G19" s="30">
        <f>F19*Inputs_Assumptions!$B$9</f>
        <v>1575199.6282858974</v>
      </c>
      <c r="H19" s="30">
        <f>F19*(1-Inputs_Assumptions!$B$9)</f>
        <v>848184.4152308678</v>
      </c>
      <c r="I19" s="31">
        <f t="shared" si="1"/>
        <v>10942307.552077552</v>
      </c>
      <c r="J19" s="31">
        <f t="shared" si="2"/>
        <v>16019397.093495224</v>
      </c>
      <c r="K19" s="31">
        <f t="shared" si="3"/>
        <v>336612663.67503744</v>
      </c>
    </row>
    <row r="20" spans="1:11" ht="18" customHeight="1">
      <c r="A20" s="21">
        <f t="shared" si="4"/>
        <v>12</v>
      </c>
      <c r="B20" s="23">
        <f t="shared" si="0"/>
        <v>336612663.67503744</v>
      </c>
      <c r="C20" s="29">
        <f>B20*(Inputs_Assumptions!$B$6/12)</f>
        <v>4067403.0194067024</v>
      </c>
      <c r="D20" s="30">
        <f>IF(B20&lt;=0,0,MIN(B20,PPMT(Inputs_Assumptions!$B$6/12,1,Inputs_Assumptions!$B$5-A20+1,-B20)))</f>
        <v>7268930.2014207179</v>
      </c>
      <c r="E20" s="30">
        <f>MAX(0,(B20-D20)*Inputs_Assumptions!$B$15)</f>
        <v>3489805.5833582934</v>
      </c>
      <c r="F20" s="30">
        <f>B20*Inputs_Assumptions!$B$16</f>
        <v>2330834.880817024</v>
      </c>
      <c r="G20" s="30">
        <f>F20*Inputs_Assumptions!$B$9</f>
        <v>1515042.6725310658</v>
      </c>
      <c r="H20" s="30">
        <f>F20*(1-Inputs_Assumptions!$B$9)</f>
        <v>815792.20828595839</v>
      </c>
      <c r="I20" s="31">
        <f t="shared" si="1"/>
        <v>10758735.784779012</v>
      </c>
      <c r="J20" s="31">
        <f t="shared" si="2"/>
        <v>15641931.01247167</v>
      </c>
      <c r="K20" s="31">
        <f t="shared" si="3"/>
        <v>323523093.00944144</v>
      </c>
    </row>
    <row r="21" spans="1:11" ht="18" customHeight="1">
      <c r="A21" s="21">
        <f t="shared" si="4"/>
        <v>13</v>
      </c>
      <c r="B21" s="23">
        <f t="shared" si="0"/>
        <v>323523093.00944144</v>
      </c>
      <c r="C21" s="29">
        <f>B21*(Inputs_Assumptions!$B$6/12)</f>
        <v>3909237.373864084</v>
      </c>
      <c r="D21" s="30">
        <f>IF(B21&lt;=0,0,MIN(B21,PPMT(Inputs_Assumptions!$B$6/12,1,Inputs_Assumptions!$B$5-A21+1,-B21)))</f>
        <v>7226743.71284323</v>
      </c>
      <c r="E21" s="30">
        <f>MAX(0,(B21-D21)*Inputs_Assumptions!$B$15)</f>
        <v>3351552.3557381984</v>
      </c>
      <c r="F21" s="30">
        <f>B21*Inputs_Assumptions!$B$16</f>
        <v>2240197.6850882736</v>
      </c>
      <c r="G21" s="30">
        <f>F21*Inputs_Assumptions!$B$9</f>
        <v>1456128.495307378</v>
      </c>
      <c r="H21" s="30">
        <f>F21*(1-Inputs_Assumptions!$B$9)</f>
        <v>784069.18978089571</v>
      </c>
      <c r="I21" s="31">
        <f t="shared" si="1"/>
        <v>10578296.068581428</v>
      </c>
      <c r="J21" s="31">
        <f t="shared" si="2"/>
        <v>15271602.632226409</v>
      </c>
      <c r="K21" s="31">
        <f t="shared" si="3"/>
        <v>310704599.2557717</v>
      </c>
    </row>
    <row r="22" spans="1:11" ht="18" customHeight="1">
      <c r="A22" s="21">
        <f t="shared" si="4"/>
        <v>14</v>
      </c>
      <c r="B22" s="23">
        <f t="shared" si="0"/>
        <v>310704599.2557717</v>
      </c>
      <c r="C22" s="29">
        <f>B22*(Inputs_Assumptions!$B$6/12)</f>
        <v>3754347.2410072414</v>
      </c>
      <c r="D22" s="30">
        <f>IF(B22&lt;=0,0,MIN(B22,PPMT(Inputs_Assumptions!$B$6/12,1,Inputs_Assumptions!$B$5-A22+1,-B22)))</f>
        <v>7184762.7062300202</v>
      </c>
      <c r="E22" s="30">
        <f>MAX(0,(B22-D22)*Inputs_Assumptions!$B$15)</f>
        <v>3216169.3470795616</v>
      </c>
      <c r="F22" s="30">
        <f>B22*Inputs_Assumptions!$B$16</f>
        <v>2151437.5296193981</v>
      </c>
      <c r="G22" s="30">
        <f>F22*Inputs_Assumptions!$B$9</f>
        <v>1398434.3942526088</v>
      </c>
      <c r="H22" s="30">
        <f>F22*(1-Inputs_Assumptions!$B$9)</f>
        <v>753003.1353667893</v>
      </c>
      <c r="I22" s="31">
        <f t="shared" si="1"/>
        <v>10400932.053309582</v>
      </c>
      <c r="J22" s="31">
        <f t="shared" si="2"/>
        <v>14908282.429683613</v>
      </c>
      <c r="K22" s="31">
        <f t="shared" si="3"/>
        <v>298152229.67284268</v>
      </c>
    </row>
    <row r="23" spans="1:11" ht="18" customHeight="1">
      <c r="A23" s="21">
        <f t="shared" si="4"/>
        <v>15</v>
      </c>
      <c r="B23" s="23">
        <f t="shared" si="0"/>
        <v>298152229.67284268</v>
      </c>
      <c r="C23" s="29">
        <f>B23*(Inputs_Assumptions!$B$6/12)</f>
        <v>3602672.7752135159</v>
      </c>
      <c r="D23" s="30">
        <f>IF(B23&lt;=0,0,MIN(B23,PPMT(Inputs_Assumptions!$B$6/12,1,Inputs_Assumptions!$B$5-A23+1,-B23)))</f>
        <v>7142984.109959471</v>
      </c>
      <c r="E23" s="30">
        <f>MAX(0,(B23-D23)*Inputs_Assumptions!$B$15)</f>
        <v>3083604.1094906395</v>
      </c>
      <c r="F23" s="30">
        <f>B23*Inputs_Assumptions!$B$16</f>
        <v>2064520.1197353704</v>
      </c>
      <c r="G23" s="30">
        <f>F23*Inputs_Assumptions!$B$9</f>
        <v>1341938.0778279908</v>
      </c>
      <c r="H23" s="30">
        <f>F23*(1-Inputs_Assumptions!$B$9)</f>
        <v>722582.04190737964</v>
      </c>
      <c r="I23" s="31">
        <f t="shared" si="1"/>
        <v>10226588.219450111</v>
      </c>
      <c r="J23" s="31">
        <f t="shared" si="2"/>
        <v>14551843.036571005</v>
      </c>
      <c r="K23" s="31">
        <f t="shared" si="3"/>
        <v>285861121.33365721</v>
      </c>
    </row>
    <row r="24" spans="1:11" ht="18" customHeight="1">
      <c r="A24" s="21">
        <f t="shared" si="4"/>
        <v>16</v>
      </c>
      <c r="B24" s="23">
        <f t="shared" si="0"/>
        <v>285861121.33365721</v>
      </c>
      <c r="C24" s="29">
        <f>B24*(Inputs_Assumptions!$B$6/12)</f>
        <v>3454155.2161150244</v>
      </c>
      <c r="D24" s="30">
        <f>IF(B24&lt;=0,0,MIN(B24,PPMT(Inputs_Assumptions!$B$6/12,1,Inputs_Assumptions!$B$5-A24+1,-B24)))</f>
        <v>7101404.696494407</v>
      </c>
      <c r="E24" s="30">
        <f>MAX(0,(B24-D24)*Inputs_Assumptions!$B$15)</f>
        <v>2953805.1484245947</v>
      </c>
      <c r="F24" s="30">
        <f>B24*Inputs_Assumptions!$B$16</f>
        <v>1979411.7826689684</v>
      </c>
      <c r="G24" s="30">
        <f>F24*Inputs_Assumptions!$B$9</f>
        <v>1286617.6587348296</v>
      </c>
      <c r="H24" s="30">
        <f>F24*(1-Inputs_Assumptions!$B$9)</f>
        <v>692794.12393413892</v>
      </c>
      <c r="I24" s="31">
        <f t="shared" si="1"/>
        <v>10055209.844919002</v>
      </c>
      <c r="J24" s="31">
        <f t="shared" si="2"/>
        <v>14202159.184968166</v>
      </c>
      <c r="K24" s="31">
        <f t="shared" si="3"/>
        <v>273826499.70606929</v>
      </c>
    </row>
    <row r="25" spans="1:11" ht="18" customHeight="1">
      <c r="A25" s="21">
        <f t="shared" si="4"/>
        <v>17</v>
      </c>
      <c r="B25" s="23">
        <f t="shared" si="0"/>
        <v>273826499.70606929</v>
      </c>
      <c r="C25" s="29">
        <f>B25*(Inputs_Assumptions!$B$6/12)</f>
        <v>3308736.8714483371</v>
      </c>
      <c r="D25" s="30">
        <f>IF(B25&lt;=0,0,MIN(B25,PPMT(Inputs_Assumptions!$B$6/12,1,Inputs_Assumptions!$B$5-A25+1,-B25)))</f>
        <v>7060021.0616418105</v>
      </c>
      <c r="E25" s="30">
        <f>MAX(0,(B25-D25)*Inputs_Assumptions!$B$15)</f>
        <v>2826721.9078596258</v>
      </c>
      <c r="F25" s="30">
        <f>B25*Inputs_Assumptions!$B$16</f>
        <v>1896079.4577327422</v>
      </c>
      <c r="G25" s="30">
        <f>F25*Inputs_Assumptions!$B$9</f>
        <v>1232451.6475262824</v>
      </c>
      <c r="H25" s="30">
        <f>F25*(1-Inputs_Assumptions!$B$9)</f>
        <v>663627.81020645972</v>
      </c>
      <c r="I25" s="31">
        <f t="shared" si="1"/>
        <v>9886742.9695014358</v>
      </c>
      <c r="J25" s="31">
        <f t="shared" si="2"/>
        <v>13859107.651156232</v>
      </c>
      <c r="K25" s="31">
        <f t="shared" si="3"/>
        <v>262043677.27883512</v>
      </c>
    </row>
    <row r="26" spans="1:11" ht="18" customHeight="1">
      <c r="A26" s="21">
        <f t="shared" si="4"/>
        <v>18</v>
      </c>
      <c r="B26" s="23">
        <f t="shared" si="0"/>
        <v>262043677.27883512</v>
      </c>
      <c r="C26" s="29">
        <f>B26*(Inputs_Assumptions!$B$6/12)</f>
        <v>3166361.1004525907</v>
      </c>
      <c r="D26" s="30">
        <f>IF(B26&lt;=0,0,MIN(B26,PPMT(Inputs_Assumptions!$B$6/12,1,Inputs_Assumptions!$B$5-A26+1,-B26)))</f>
        <v>7018829.6004473148</v>
      </c>
      <c r="E26" s="30">
        <f>MAX(0,(B26-D26)*Inputs_Assumptions!$B$15)</f>
        <v>2702304.7559957039</v>
      </c>
      <c r="F26" s="30">
        <f>B26*Inputs_Assumptions!$B$16</f>
        <v>1814490.686805265</v>
      </c>
      <c r="G26" s="30">
        <f>F26*Inputs_Assumptions!$B$9</f>
        <v>1179418.9464234223</v>
      </c>
      <c r="H26" s="30">
        <f>F26*(1-Inputs_Assumptions!$B$9)</f>
        <v>635071.74038184271</v>
      </c>
      <c r="I26" s="31">
        <f t="shared" si="1"/>
        <v>9721134.3564430177</v>
      </c>
      <c r="J26" s="31">
        <f t="shared" si="2"/>
        <v>13522567.197277453</v>
      </c>
      <c r="K26" s="31">
        <f t="shared" si="3"/>
        <v>250508052.23558682</v>
      </c>
    </row>
    <row r="27" spans="1:11" ht="18" customHeight="1">
      <c r="A27" s="21">
        <f t="shared" si="4"/>
        <v>19</v>
      </c>
      <c r="B27" s="23">
        <f t="shared" si="0"/>
        <v>250508052.23558682</v>
      </c>
      <c r="C27" s="29">
        <f>B27*(Inputs_Assumptions!$B$6/12)</f>
        <v>3026972.297846674</v>
      </c>
      <c r="D27" s="30">
        <f>IF(B27&lt;=0,0,MIN(B27,PPMT(Inputs_Assumptions!$B$6/12,1,Inputs_Assumptions!$B$5-A27+1,-B27)))</f>
        <v>6977826.4790478526</v>
      </c>
      <c r="E27" s="30">
        <f>MAX(0,(B27-D27)*Inputs_Assumptions!$B$15)</f>
        <v>2580504.9715019325</v>
      </c>
      <c r="F27" s="30">
        <f>B27*Inputs_Assumptions!$B$16</f>
        <v>1734613.6051492209</v>
      </c>
      <c r="G27" s="30">
        <f>F27*Inputs_Assumptions!$B$9</f>
        <v>1127498.8433469937</v>
      </c>
      <c r="H27" s="30">
        <f>F27*(1-Inputs_Assumptions!$B$9)</f>
        <v>607114.76180222724</v>
      </c>
      <c r="I27" s="31">
        <f t="shared" si="1"/>
        <v>9558331.450549785</v>
      </c>
      <c r="J27" s="31">
        <f t="shared" si="2"/>
        <v>13192418.510198686</v>
      </c>
      <c r="K27" s="31">
        <f t="shared" si="3"/>
        <v>239215107.1798878</v>
      </c>
    </row>
    <row r="28" spans="1:11" ht="18" customHeight="1">
      <c r="A28" s="21">
        <f t="shared" si="4"/>
        <v>20</v>
      </c>
      <c r="B28" s="23">
        <f t="shared" si="0"/>
        <v>239215107.1798878</v>
      </c>
      <c r="C28" s="29">
        <f>B28*(Inputs_Assumptions!$B$6/12)</f>
        <v>2890515.8784236442</v>
      </c>
      <c r="D28" s="30">
        <f>IF(B28&lt;=0,0,MIN(B28,PPMT(Inputs_Assumptions!$B$6/12,1,Inputs_Assumptions!$B$5-A28+1,-B28)))</f>
        <v>6937007.6016418356</v>
      </c>
      <c r="E28" s="30">
        <f>MAX(0,(B28-D28)*Inputs_Assumptions!$B$15)</f>
        <v>2461274.7303569173</v>
      </c>
      <c r="F28" s="30">
        <f>B28*Inputs_Assumptions!$B$16</f>
        <v>1656416.9325831986</v>
      </c>
      <c r="G28" s="30">
        <f>F28*Inputs_Assumptions!$B$9</f>
        <v>1076671.0061790792</v>
      </c>
      <c r="H28" s="30">
        <f>F28*(1-Inputs_Assumptions!$B$9)</f>
        <v>579745.92640411947</v>
      </c>
      <c r="I28" s="31">
        <f t="shared" si="1"/>
        <v>9398282.3319987524</v>
      </c>
      <c r="J28" s="31">
        <f t="shared" si="2"/>
        <v>12868544.136826515</v>
      </c>
      <c r="K28" s="31">
        <f t="shared" si="3"/>
        <v>228160407.91530582</v>
      </c>
    </row>
    <row r="29" spans="1:11" ht="18" customHeight="1">
      <c r="A29" s="21">
        <f t="shared" si="4"/>
        <v>21</v>
      </c>
      <c r="B29" s="23">
        <f t="shared" si="0"/>
        <v>228160407.91530582</v>
      </c>
      <c r="C29" s="29">
        <f>B29*(Inputs_Assumptions!$B$6/12)</f>
        <v>2756938.2623099452</v>
      </c>
      <c r="D29" s="30">
        <f>IF(B29&lt;=0,0,MIN(B29,PPMT(Inputs_Assumptions!$B$6/12,1,Inputs_Assumptions!$B$5-A29+1,-B29)))</f>
        <v>6896368.5715254731</v>
      </c>
      <c r="E29" s="30">
        <f>MAX(0,(B29-D29)*Inputs_Assumptions!$B$15)</f>
        <v>2344567.0933349975</v>
      </c>
      <c r="F29" s="30">
        <f>B29*Inputs_Assumptions!$B$16</f>
        <v>1579869.965034453</v>
      </c>
      <c r="G29" s="30">
        <f>F29*Inputs_Assumptions!$B$9</f>
        <v>1026915.4772723945</v>
      </c>
      <c r="H29" s="30">
        <f>F29*(1-Inputs_Assumptions!$B$9)</f>
        <v>552954.4877620585</v>
      </c>
      <c r="I29" s="31">
        <f t="shared" si="1"/>
        <v>9240935.6648604702</v>
      </c>
      <c r="J29" s="31">
        <f t="shared" si="2"/>
        <v>12550828.414932474</v>
      </c>
      <c r="K29" s="31">
        <f t="shared" si="3"/>
        <v>217339602.28541088</v>
      </c>
    </row>
    <row r="30" spans="1:11" ht="18" customHeight="1">
      <c r="A30" s="21">
        <f t="shared" si="4"/>
        <v>22</v>
      </c>
      <c r="B30" s="23">
        <f t="shared" si="0"/>
        <v>217339602.28541088</v>
      </c>
      <c r="C30" s="29">
        <f>B30*(Inputs_Assumptions!$B$6/12)</f>
        <v>2626186.8609487149</v>
      </c>
      <c r="D30" s="30">
        <f>IF(B30&lt;=0,0,MIN(B30,PPMT(Inputs_Assumptions!$B$6/12,1,Inputs_Assumptions!$B$5-A30+1,-B30)))</f>
        <v>6855904.6448701425</v>
      </c>
      <c r="E30" s="30">
        <f>MAX(0,(B30-D30)*Inputs_Assumptions!$B$15)</f>
        <v>2230335.9942043698</v>
      </c>
      <c r="F30" s="30">
        <f>B30*Inputs_Assumptions!$B$16</f>
        <v>1504942.566506604</v>
      </c>
      <c r="G30" s="30">
        <f>F30*Inputs_Assumptions!$B$9</f>
        <v>978212.66822929261</v>
      </c>
      <c r="H30" s="30">
        <f>F30*(1-Inputs_Assumptions!$B$9)</f>
        <v>526729.89827731135</v>
      </c>
      <c r="I30" s="31">
        <f t="shared" si="1"/>
        <v>9086240.6390745118</v>
      </c>
      <c r="J30" s="31">
        <f t="shared" si="2"/>
        <v>12239157.398300538</v>
      </c>
      <c r="K30" s="31">
        <f t="shared" si="3"/>
        <v>206748419.07982978</v>
      </c>
    </row>
    <row r="31" spans="1:11" ht="18" customHeight="1">
      <c r="A31" s="21">
        <f t="shared" si="4"/>
        <v>23</v>
      </c>
      <c r="B31" s="23">
        <f t="shared" si="0"/>
        <v>206748419.07982978</v>
      </c>
      <c r="C31" s="29">
        <f>B31*(Inputs_Assumptions!$B$6/12)</f>
        <v>2498210.0638812766</v>
      </c>
      <c r="D31" s="30">
        <f>IF(B31&lt;=0,0,MIN(B31,PPMT(Inputs_Assumptions!$B$6/12,1,Inputs_Assumptions!$B$5-A31+1,-B31)))</f>
        <v>6815610.6755579868</v>
      </c>
      <c r="E31" s="30">
        <f>MAX(0,(B31-D31)*Inputs_Assumptions!$B$15)</f>
        <v>2118536.2287199115</v>
      </c>
      <c r="F31" s="30">
        <f>B31*Inputs_Assumptions!$B$16</f>
        <v>1431605.1615047415</v>
      </c>
      <c r="G31" s="30">
        <f>F31*Inputs_Assumptions!$B$9</f>
        <v>930543.354978082</v>
      </c>
      <c r="H31" s="30">
        <f>F31*(1-Inputs_Assumptions!$B$9)</f>
        <v>501061.80652665952</v>
      </c>
      <c r="I31" s="31">
        <f t="shared" si="1"/>
        <v>8934146.9042778984</v>
      </c>
      <c r="J31" s="31">
        <f t="shared" si="2"/>
        <v>11933418.774685835</v>
      </c>
      <c r="K31" s="31">
        <f t="shared" si="3"/>
        <v>196382667.01404712</v>
      </c>
    </row>
    <row r="32" spans="1:11" ht="18" customHeight="1">
      <c r="A32" s="21">
        <f t="shared" si="4"/>
        <v>24</v>
      </c>
      <c r="B32" s="23">
        <f t="shared" si="0"/>
        <v>196382667.01404712</v>
      </c>
      <c r="C32" s="29">
        <f>B32*(Inputs_Assumptions!$B$6/12)</f>
        <v>2372957.2264197362</v>
      </c>
      <c r="D32" s="30">
        <f>IF(B32&lt;=0,0,MIN(B32,PPMT(Inputs_Assumptions!$B$6/12,1,Inputs_Assumptions!$B$5-A32+1,-B32)))</f>
        <v>6775481.0489201033</v>
      </c>
      <c r="E32" s="30">
        <f>MAX(0,(B32-D32)*Inputs_Assumptions!$B$15)</f>
        <v>2009123.4445150353</v>
      </c>
      <c r="F32" s="30">
        <f>B32*Inputs_Assumptions!$B$16</f>
        <v>1359828.7279711773</v>
      </c>
      <c r="G32" s="30">
        <f>F32*Inputs_Assumptions!$B$9</f>
        <v>883888.67318126524</v>
      </c>
      <c r="H32" s="30">
        <f>F32*(1-Inputs_Assumptions!$B$9)</f>
        <v>475940.05478991201</v>
      </c>
      <c r="I32" s="31">
        <f t="shared" si="1"/>
        <v>8784604.4934351388</v>
      </c>
      <c r="J32" s="31">
        <f t="shared" si="2"/>
        <v>11633501.774644786</v>
      </c>
      <c r="K32" s="31">
        <f t="shared" si="3"/>
        <v>186238233.79264081</v>
      </c>
    </row>
    <row r="33" spans="1:11" ht="18" customHeight="1">
      <c r="A33" s="21">
        <f t="shared" si="4"/>
        <v>25</v>
      </c>
      <c r="B33" s="23">
        <f t="shared" si="0"/>
        <v>186238233.79264081</v>
      </c>
      <c r="C33" s="29">
        <f>B33*(Inputs_Assumptions!$B$6/12)</f>
        <v>2250378.6583277429</v>
      </c>
      <c r="D33" s="30">
        <f>IF(B33&lt;=0,0,MIN(B33,PPMT(Inputs_Assumptions!$B$6/12,1,Inputs_Assumptions!$B$5-A33+1,-B33)))</f>
        <v>6735509.6015911037</v>
      </c>
      <c r="E33" s="30">
        <f>MAX(0,(B33-D33)*Inputs_Assumptions!$B$15)</f>
        <v>1902054.132024745</v>
      </c>
      <c r="F33" s="30">
        <f>B33*Inputs_Assumptions!$B$16</f>
        <v>1289584.7907989279</v>
      </c>
      <c r="G33" s="30">
        <f>F33*Inputs_Assumptions!$B$9</f>
        <v>838230.11401930312</v>
      </c>
      <c r="H33" s="30">
        <f>F33*(1-Inputs_Assumptions!$B$9)</f>
        <v>451354.67677962471</v>
      </c>
      <c r="I33" s="31">
        <f t="shared" si="1"/>
        <v>8637563.7336158492</v>
      </c>
      <c r="J33" s="31">
        <f t="shared" si="2"/>
        <v>11339297.068723215</v>
      </c>
      <c r="K33" s="31">
        <f t="shared" si="3"/>
        <v>176311085.26822603</v>
      </c>
    </row>
    <row r="34" spans="1:11" ht="18" customHeight="1">
      <c r="A34" s="21">
        <f t="shared" si="4"/>
        <v>26</v>
      </c>
      <c r="B34" s="23">
        <f t="shared" si="0"/>
        <v>176311085.26822603</v>
      </c>
      <c r="C34" s="29">
        <f>B34*(Inputs_Assumptions!$B$6/12)</f>
        <v>2130425.6136577311</v>
      </c>
      <c r="D34" s="30">
        <f>IF(B34&lt;=0,0,MIN(B34,PPMT(Inputs_Assumptions!$B$6/12,1,Inputs_Assumptions!$B$5-A34+1,-B34)))</f>
        <v>6695689.5238433387</v>
      </c>
      <c r="E34" s="30">
        <f>MAX(0,(B34-D34)*Inputs_Assumptions!$B$15)</f>
        <v>1797285.6166084954</v>
      </c>
      <c r="F34" s="30">
        <f>B34*Inputs_Assumptions!$B$16</f>
        <v>1220845.416007922</v>
      </c>
      <c r="G34" s="30">
        <f>F34*Inputs_Assumptions!$B$9</f>
        <v>793549.52040514932</v>
      </c>
      <c r="H34" s="30">
        <f>F34*(1-Inputs_Assumptions!$B$9)</f>
        <v>427295.89560277271</v>
      </c>
      <c r="I34" s="31">
        <f t="shared" si="1"/>
        <v>8492975.1404518336</v>
      </c>
      <c r="J34" s="31">
        <f t="shared" si="2"/>
        <v>11050696.649712337</v>
      </c>
      <c r="K34" s="31">
        <f t="shared" si="3"/>
        <v>166597264.71176624</v>
      </c>
    </row>
    <row r="35" spans="1:11" ht="18" customHeight="1">
      <c r="A35" s="21">
        <f t="shared" si="4"/>
        <v>27</v>
      </c>
      <c r="B35" s="23">
        <f t="shared" si="0"/>
        <v>166597264.71176624</v>
      </c>
      <c r="C35" s="29">
        <f>B35*(Inputs_Assumptions!$B$6/12)</f>
        <v>2013050.281933842</v>
      </c>
      <c r="D35" s="30">
        <f>IF(B35&lt;=0,0,MIN(B35,PPMT(Inputs_Assumptions!$B$6/12,1,Inputs_Assumptions!$B$5-A35+1,-B35)))</f>
        <v>6656013.2396037644</v>
      </c>
      <c r="E35" s="30">
        <f>MAX(0,(B35-D35)*Inputs_Assumptions!$B$15)</f>
        <v>1694776.0520895997</v>
      </c>
      <c r="F35" s="30">
        <f>B35*Inputs_Assumptions!$B$16</f>
        <v>1153583.2056923541</v>
      </c>
      <c r="G35" s="30">
        <f>F35*Inputs_Assumptions!$B$9</f>
        <v>749829.08370003023</v>
      </c>
      <c r="H35" s="30">
        <f>F35*(1-Inputs_Assumptions!$B$9)</f>
        <v>403754.1219923239</v>
      </c>
      <c r="I35" s="31">
        <f t="shared" si="1"/>
        <v>8350789.2916933643</v>
      </c>
      <c r="J35" s="31">
        <f t="shared" si="2"/>
        <v>10767593.695619529</v>
      </c>
      <c r="K35" s="31">
        <f t="shared" si="3"/>
        <v>157092892.21438053</v>
      </c>
    </row>
    <row r="36" spans="1:11" ht="18" customHeight="1">
      <c r="A36" s="21">
        <f t="shared" si="4"/>
        <v>28</v>
      </c>
      <c r="B36" s="23">
        <f t="shared" si="0"/>
        <v>157092892.21438053</v>
      </c>
      <c r="C36" s="29">
        <f>B36*(Inputs_Assumptions!$B$6/12)</f>
        <v>1898205.7809237647</v>
      </c>
      <c r="D36" s="30">
        <f>IF(B36&lt;=0,0,MIN(B36,PPMT(Inputs_Assumptions!$B$6/12,1,Inputs_Assumptions!$B$5-A36+1,-B36)))</f>
        <v>6616472.2577531617</v>
      </c>
      <c r="E36" s="30">
        <f>MAX(0,(B36-D36)*Inputs_Assumptions!$B$15)</f>
        <v>1594484.4159923063</v>
      </c>
      <c r="F36" s="30">
        <f>B36*Inputs_Assumptions!$B$16</f>
        <v>1087771.2938785697</v>
      </c>
      <c r="G36" s="30">
        <f>F36*Inputs_Assumptions!$B$9</f>
        <v>707051.34102107037</v>
      </c>
      <c r="H36" s="30">
        <f>F36*(1-Inputs_Assumptions!$B$9)</f>
        <v>380719.95285749936</v>
      </c>
      <c r="I36" s="31">
        <f t="shared" si="1"/>
        <v>8210956.6737454683</v>
      </c>
      <c r="J36" s="31">
        <f t="shared" si="2"/>
        <v>10489882.407526733</v>
      </c>
      <c r="K36" s="31">
        <f t="shared" si="3"/>
        <v>147794164.24675649</v>
      </c>
    </row>
    <row r="37" spans="1:11" ht="18" customHeight="1">
      <c r="A37" s="21">
        <f t="shared" si="4"/>
        <v>29</v>
      </c>
      <c r="B37" s="23">
        <f t="shared" si="0"/>
        <v>147794164.24675649</v>
      </c>
      <c r="C37" s="29">
        <f>B37*(Inputs_Assumptions!$B$6/12)</f>
        <v>1785846.1513149743</v>
      </c>
      <c r="D37" s="30">
        <f>IF(B37&lt;=0,0,MIN(B37,PPMT(Inputs_Assumptions!$B$6/12,1,Inputs_Assumptions!$B$5-A37+1,-B37)))</f>
        <v>6577056.9860615609</v>
      </c>
      <c r="E37" s="30">
        <f>MAX(0,(B37-D37)*Inputs_Assumptions!$B$15)</f>
        <v>1496370.506844817</v>
      </c>
      <c r="F37" s="30">
        <f>B37*Inputs_Assumptions!$B$16</f>
        <v>1023383.3434742718</v>
      </c>
      <c r="G37" s="30">
        <f>F37*Inputs_Assumptions!$B$9</f>
        <v>665199.17325827666</v>
      </c>
      <c r="H37" s="30">
        <f>F37*(1-Inputs_Assumptions!$B$9)</f>
        <v>358184.17021599511</v>
      </c>
      <c r="I37" s="31">
        <f t="shared" si="1"/>
        <v>8073427.4929063777</v>
      </c>
      <c r="J37" s="31">
        <f t="shared" si="2"/>
        <v>10217457.814437348</v>
      </c>
      <c r="K37" s="31">
        <f t="shared" si="3"/>
        <v>138697353.41037583</v>
      </c>
    </row>
    <row r="38" spans="1:11" ht="18" customHeight="1">
      <c r="A38" s="21">
        <f t="shared" si="4"/>
        <v>30</v>
      </c>
      <c r="B38" s="23">
        <f t="shared" si="0"/>
        <v>138697353.41037583</v>
      </c>
      <c r="C38" s="29">
        <f>B38*(Inputs_Assumptions!$B$6/12)</f>
        <v>1675926.353708708</v>
      </c>
      <c r="D38" s="30">
        <f>IF(B38&lt;=0,0,MIN(B38,PPMT(Inputs_Assumptions!$B$6/12,1,Inputs_Assumptions!$B$5-A38+1,-B38)))</f>
        <v>6537756.495920754</v>
      </c>
      <c r="E38" s="30">
        <f>MAX(0,(B38-D38)*Inputs_Assumptions!$B$15)</f>
        <v>1400394.9440361641</v>
      </c>
      <c r="F38" s="30">
        <f>B38*Inputs_Assumptions!$B$16</f>
        <v>960393.5445459116</v>
      </c>
      <c r="G38" s="30">
        <f>F38*Inputs_Assumptions!$B$9</f>
        <v>624255.80395484262</v>
      </c>
      <c r="H38" s="30">
        <f>F38*(1-Inputs_Assumptions!$B$9)</f>
        <v>336137.74059106904</v>
      </c>
      <c r="I38" s="31">
        <f t="shared" si="1"/>
        <v>7938151.4399569184</v>
      </c>
      <c r="J38" s="31">
        <f t="shared" si="2"/>
        <v>9950215.5342566948</v>
      </c>
      <c r="K38" s="31">
        <f t="shared" si="3"/>
        <v>129798808.425873</v>
      </c>
    </row>
    <row r="39" spans="1:11" ht="18" customHeight="1">
      <c r="A39" s="21">
        <f t="shared" si="4"/>
        <v>31</v>
      </c>
      <c r="B39" s="23">
        <f t="shared" si="0"/>
        <v>129798808.425873</v>
      </c>
      <c r="C39" s="29">
        <f>B39*(Inputs_Assumptions!$B$6/12)</f>
        <v>1568402.2684792986</v>
      </c>
      <c r="D39" s="30">
        <f>IF(B39&lt;=0,0,MIN(B39,PPMT(Inputs_Assumptions!$B$6/12,1,Inputs_Assumptions!$B$5-A39+1,-B39)))</f>
        <v>6498558.2214200506</v>
      </c>
      <c r="E39" s="30">
        <f>MAX(0,(B39-D39)*Inputs_Assumptions!$B$15)</f>
        <v>1306519.1708815212</v>
      </c>
      <c r="F39" s="30">
        <f>B39*Inputs_Assumptions!$B$16</f>
        <v>898776.61423807929</v>
      </c>
      <c r="G39" s="30">
        <f>F39*Inputs_Assumptions!$B$9</f>
        <v>584204.79925475153</v>
      </c>
      <c r="H39" s="30">
        <f>F39*(1-Inputs_Assumptions!$B$9)</f>
        <v>314571.81498332776</v>
      </c>
      <c r="I39" s="31">
        <f t="shared" si="1"/>
        <v>7805077.3923015716</v>
      </c>
      <c r="J39" s="31">
        <f t="shared" si="2"/>
        <v>9688051.4757641982</v>
      </c>
      <c r="K39" s="31">
        <f t="shared" si="3"/>
        <v>121094954.41933334</v>
      </c>
    </row>
    <row r="40" spans="1:11" ht="18" customHeight="1">
      <c r="A40" s="21">
        <f t="shared" si="4"/>
        <v>32</v>
      </c>
      <c r="B40" s="23">
        <f t="shared" si="0"/>
        <v>121094954.41933334</v>
      </c>
      <c r="C40" s="29">
        <f>B40*(Inputs_Assumptions!$B$6/12)</f>
        <v>1463230.6992336111</v>
      </c>
      <c r="D40" s="30">
        <f>IF(B40&lt;=0,0,MIN(B40,PPMT(Inputs_Assumptions!$B$6/12,1,Inputs_Assumptions!$B$5-A40+1,-B40)))</f>
        <v>6459447.5695218025</v>
      </c>
      <c r="E40" s="30">
        <f>MAX(0,(B40-D40)*Inputs_Assumptions!$B$15)</f>
        <v>1214705.4617865626</v>
      </c>
      <c r="F40" s="30">
        <f>B40*Inputs_Assumptions!$B$16</f>
        <v>838507.7987559418</v>
      </c>
      <c r="G40" s="30">
        <f>F40*Inputs_Assumptions!$B$9</f>
        <v>545030.06919136224</v>
      </c>
      <c r="H40" s="30">
        <f>F40*(1-Inputs_Assumptions!$B$9)</f>
        <v>293477.72956457961</v>
      </c>
      <c r="I40" s="31">
        <f t="shared" si="1"/>
        <v>7674153.0313083651</v>
      </c>
      <c r="J40" s="31">
        <f t="shared" si="2"/>
        <v>9430861.4601065554</v>
      </c>
      <c r="K40" s="31">
        <f t="shared" si="3"/>
        <v>112582293.58926903</v>
      </c>
    </row>
    <row r="41" spans="1:11" ht="18" customHeight="1">
      <c r="A41" s="21">
        <f t="shared" si="4"/>
        <v>33</v>
      </c>
      <c r="B41" s="23">
        <f t="shared" si="0"/>
        <v>112582293.58926903</v>
      </c>
      <c r="C41" s="29">
        <f>B41*(Inputs_Assumptions!$B$6/12)</f>
        <v>1360369.3808703341</v>
      </c>
      <c r="D41" s="30">
        <f>IF(B41&lt;=0,0,MIN(B41,PPMT(Inputs_Assumptions!$B$6/12,1,Inputs_Assumptions!$B$5-A41+1,-B41)))</f>
        <v>6420407.407903553</v>
      </c>
      <c r="E41" s="30">
        <f>MAX(0,(B41-D41)*Inputs_Assumptions!$B$15)</f>
        <v>1124916.9347418474</v>
      </c>
      <c r="F41" s="30">
        <f>B41*Inputs_Assumptions!$B$16</f>
        <v>779562.87798363948</v>
      </c>
      <c r="G41" s="30">
        <f>F41*Inputs_Assumptions!$B$9</f>
        <v>506715.87068936566</v>
      </c>
      <c r="H41" s="30">
        <f>F41*(1-Inputs_Assumptions!$B$9)</f>
        <v>272847.00729427382</v>
      </c>
      <c r="I41" s="31">
        <f t="shared" si="1"/>
        <v>7545324.3426454002</v>
      </c>
      <c r="J41" s="31">
        <f t="shared" si="2"/>
        <v>9178540.7308100071</v>
      </c>
      <c r="K41" s="31">
        <f t="shared" si="3"/>
        <v>104257406.36863998</v>
      </c>
    </row>
    <row r="42" spans="1:11" ht="18" customHeight="1">
      <c r="A42" s="21">
        <f t="shared" si="4"/>
        <v>34</v>
      </c>
      <c r="B42" s="23">
        <f t="shared" si="0"/>
        <v>104257406.36863998</v>
      </c>
      <c r="C42" s="29">
        <f>B42*(Inputs_Assumptions!$B$6/12)</f>
        <v>1259776.9936210664</v>
      </c>
      <c r="D42" s="30">
        <f>IF(B42&lt;=0,0,MIN(B42,PPMT(Inputs_Assumptions!$B$6/12,1,Inputs_Assumptions!$B$5-A42+1,-B42)))</f>
        <v>6381417.3814019244</v>
      </c>
      <c r="E42" s="30">
        <f>MAX(0,(B42-D42)*Inputs_Assumptions!$B$15)</f>
        <v>1037117.570879</v>
      </c>
      <c r="F42" s="30">
        <f>B42*Inputs_Assumptions!$B$16</f>
        <v>721918.17353056383</v>
      </c>
      <c r="G42" s="30">
        <f>F42*Inputs_Assumptions!$B$9</f>
        <v>469246.81279486651</v>
      </c>
      <c r="H42" s="30">
        <f>F42*(1-Inputs_Assumptions!$B$9)</f>
        <v>252671.36073569732</v>
      </c>
      <c r="I42" s="31">
        <f t="shared" si="1"/>
        <v>7418534.9522809247</v>
      </c>
      <c r="J42" s="31">
        <f t="shared" si="2"/>
        <v>8930983.3066376876</v>
      </c>
      <c r="K42" s="31">
        <f t="shared" si="3"/>
        <v>96116953.242828488</v>
      </c>
    </row>
    <row r="43" spans="1:11" ht="18" customHeight="1">
      <c r="A43" s="21">
        <f t="shared" si="4"/>
        <v>35</v>
      </c>
      <c r="B43" s="23">
        <f t="shared" si="0"/>
        <v>96116953.242828488</v>
      </c>
      <c r="C43" s="29">
        <f>B43*(Inputs_Assumptions!$B$6/12)</f>
        <v>1161413.1850175108</v>
      </c>
      <c r="D43" s="30">
        <f>IF(B43&lt;=0,0,MIN(B43,PPMT(Inputs_Assumptions!$B$6/12,1,Inputs_Assumptions!$B$5-A43+1,-B43)))</f>
        <v>6342452.9834174542</v>
      </c>
      <c r="E43" s="30">
        <f>MAX(0,(B43-D43)*Inputs_Assumptions!$B$15)</f>
        <v>951272.24357402534</v>
      </c>
      <c r="F43" s="30">
        <f>B43*Inputs_Assumptions!$B$16</f>
        <v>665550.56131970906</v>
      </c>
      <c r="G43" s="30">
        <f>F43*Inputs_Assumptions!$B$9</f>
        <v>432607.8648578109</v>
      </c>
      <c r="H43" s="30">
        <f>F43*(1-Inputs_Assumptions!$B$9)</f>
        <v>232942.69646189816</v>
      </c>
      <c r="I43" s="31">
        <f t="shared" si="1"/>
        <v>7293725.2269914793</v>
      </c>
      <c r="J43" s="31">
        <f t="shared" si="2"/>
        <v>8688081.1084708869</v>
      </c>
      <c r="K43" s="31">
        <f t="shared" si="3"/>
        <v>88157677.454517305</v>
      </c>
    </row>
    <row r="44" spans="1:11" ht="18" customHeight="1">
      <c r="A44" s="21">
        <f t="shared" si="4"/>
        <v>36</v>
      </c>
      <c r="B44" s="23">
        <f t="shared" si="0"/>
        <v>88157677.454517305</v>
      </c>
      <c r="C44" s="29">
        <f>B44*(Inputs_Assumptions!$B$6/12)</f>
        <v>1065238.6025754174</v>
      </c>
      <c r="D44" s="30">
        <f>IF(B44&lt;=0,0,MIN(B44,PPMT(Inputs_Assumptions!$B$6/12,1,Inputs_Assumptions!$B$5-A44+1,-B44)))</f>
        <v>6303484.2689217925</v>
      </c>
      <c r="E44" s="30">
        <f>MAX(0,(B44-D44)*Inputs_Assumptions!$B$15)</f>
        <v>867346.7607461341</v>
      </c>
      <c r="F44" s="30">
        <f>B44*Inputs_Assumptions!$B$16</f>
        <v>610437.49031728297</v>
      </c>
      <c r="G44" s="30">
        <f>F44*Inputs_Assumptions!$B$9</f>
        <v>396784.36870623392</v>
      </c>
      <c r="H44" s="30">
        <f>F44*(1-Inputs_Assumptions!$B$9)</f>
        <v>213653.12161104902</v>
      </c>
      <c r="I44" s="31">
        <f t="shared" si="1"/>
        <v>7170831.029667927</v>
      </c>
      <c r="J44" s="31">
        <f t="shared" si="2"/>
        <v>8449722.753854394</v>
      </c>
      <c r="K44" s="31">
        <f t="shared" si="3"/>
        <v>80376408.934532091</v>
      </c>
    </row>
    <row r="45" spans="1:11" ht="18" customHeight="1">
      <c r="A45" s="21">
        <f t="shared" si="4"/>
        <v>37</v>
      </c>
      <c r="B45" s="23">
        <f t="shared" si="0"/>
        <v>80376408.934532091</v>
      </c>
      <c r="C45" s="29">
        <f>B45*(Inputs_Assumptions!$B$6/12)</f>
        <v>971214.94129226275</v>
      </c>
      <c r="D45" s="30">
        <f>IF(B45&lt;=0,0,MIN(B45,PPMT(Inputs_Assumptions!$B$6/12,1,Inputs_Assumptions!$B$5-A45+1,-B45)))</f>
        <v>6264474.0294827325</v>
      </c>
      <c r="E45" s="30">
        <f>MAX(0,(B45-D45)*Inputs_Assumptions!$B$15)</f>
        <v>785307.92584777274</v>
      </c>
      <c r="F45" s="30">
        <f>B45*Inputs_Assumptions!$B$16</f>
        <v>556557.00975136424</v>
      </c>
      <c r="G45" s="30">
        <f>F45*Inputs_Assumptions!$B$9</f>
        <v>361762.05633838678</v>
      </c>
      <c r="H45" s="30">
        <f>F45*(1-Inputs_Assumptions!$B$9)</f>
        <v>194794.95341297748</v>
      </c>
      <c r="I45" s="31">
        <f t="shared" si="1"/>
        <v>7049781.955330505</v>
      </c>
      <c r="J45" s="31">
        <f t="shared" si="2"/>
        <v>8215791.8500357447</v>
      </c>
      <c r="K45" s="31">
        <f t="shared" si="3"/>
        <v>72770069.96945022</v>
      </c>
    </row>
    <row r="46" spans="1:11" ht="18" customHeight="1">
      <c r="A46" s="21">
        <f t="shared" si="4"/>
        <v>38</v>
      </c>
      <c r="B46" s="23">
        <f t="shared" si="0"/>
        <v>72770069.96945022</v>
      </c>
      <c r="C46" s="29">
        <f>B46*(Inputs_Assumptions!$B$6/12)</f>
        <v>879305.01213085686</v>
      </c>
      <c r="D46" s="30">
        <f>IF(B46&lt;=0,0,MIN(B46,PPMT(Inputs_Assumptions!$B$6/12,1,Inputs_Assumptions!$B$5-A46+1,-B46)))</f>
        <v>6225375.1362834265</v>
      </c>
      <c r="E46" s="30">
        <f>MAX(0,(B46-D46)*Inputs_Assumptions!$B$15)</f>
        <v>705123.62607398059</v>
      </c>
      <c r="F46" s="30">
        <f>B46*Inputs_Assumptions!$B$16</f>
        <v>503887.80835659435</v>
      </c>
      <c r="G46" s="30">
        <f>F46*Inputs_Assumptions!$B$9</f>
        <v>327527.07543178636</v>
      </c>
      <c r="H46" s="30">
        <f>F46*(1-Inputs_Assumptions!$B$9)</f>
        <v>176360.73292480802</v>
      </c>
      <c r="I46" s="31">
        <f t="shared" si="1"/>
        <v>6930498.7623574072</v>
      </c>
      <c r="J46" s="31">
        <f t="shared" si="2"/>
        <v>7986164.5074130716</v>
      </c>
      <c r="K46" s="31">
        <f t="shared" si="3"/>
        <v>65335683.398736216</v>
      </c>
    </row>
    <row r="47" spans="1:11" ht="18" customHeight="1">
      <c r="A47" s="21">
        <f t="shared" si="4"/>
        <v>39</v>
      </c>
      <c r="B47" s="23">
        <f t="shared" si="0"/>
        <v>65335683.398736216</v>
      </c>
      <c r="C47" s="29">
        <f>B47*(Inputs_Assumptions!$B$6/12)</f>
        <v>789472.84106806258</v>
      </c>
      <c r="D47" s="30">
        <f>IF(B47&lt;=0,0,MIN(B47,PPMT(Inputs_Assumptions!$B$6/12,1,Inputs_Assumptions!$B$5-A47+1,-B47)))</f>
        <v>6186126.5510374</v>
      </c>
      <c r="E47" s="30">
        <f>MAX(0,(B47-D47)*Inputs_Assumptions!$B$15)</f>
        <v>626762.96149051876</v>
      </c>
      <c r="F47" s="30">
        <f>B47*Inputs_Assumptions!$B$16</f>
        <v>452409.27113427978</v>
      </c>
      <c r="G47" s="30">
        <f>F47*Inputs_Assumptions!$B$9</f>
        <v>294066.02623728185</v>
      </c>
      <c r="H47" s="30">
        <f>F47*(1-Inputs_Assumptions!$B$9)</f>
        <v>158343.2448969979</v>
      </c>
      <c r="I47" s="31">
        <f t="shared" si="1"/>
        <v>6812889.5125279184</v>
      </c>
      <c r="J47" s="31">
        <f t="shared" si="2"/>
        <v>7760705.5984929791</v>
      </c>
      <c r="K47" s="31">
        <f t="shared" si="3"/>
        <v>58070384.615074016</v>
      </c>
    </row>
    <row r="48" spans="1:11" ht="18" customHeight="1">
      <c r="A48" s="21">
        <f t="shared" si="4"/>
        <v>40</v>
      </c>
      <c r="B48" s="23">
        <f t="shared" si="0"/>
        <v>58070384.615074016</v>
      </c>
      <c r="C48" s="29">
        <f>B48*(Inputs_Assumptions!$B$6/12)</f>
        <v>701683.81409881101</v>
      </c>
      <c r="D48" s="30">
        <f>IF(B48&lt;=0,0,MIN(B48,PPMT(Inputs_Assumptions!$B$6/12,1,Inputs_Assumptions!$B$5-A48+1,-B48)))</f>
        <v>6146647.1152985087</v>
      </c>
      <c r="E48" s="30">
        <f>MAX(0,(B48-D48)*Inputs_Assumptions!$B$15)</f>
        <v>550196.43800225202</v>
      </c>
      <c r="F48" s="30">
        <f>B48*Inputs_Assumptions!$B$16</f>
        <v>402101.56244728435</v>
      </c>
      <c r="G48" s="30">
        <f>F48*Inputs_Assumptions!$B$9</f>
        <v>261366.01559073484</v>
      </c>
      <c r="H48" s="30">
        <f>F48*(1-Inputs_Assumptions!$B$9)</f>
        <v>140735.54685654951</v>
      </c>
      <c r="I48" s="31">
        <f t="shared" si="1"/>
        <v>6696843.5533007607</v>
      </c>
      <c r="J48" s="31">
        <f t="shared" si="2"/>
        <v>7539262.914256121</v>
      </c>
      <c r="K48" s="31">
        <f t="shared" si="3"/>
        <v>50971439.499325968</v>
      </c>
    </row>
    <row r="49" spans="1:11" ht="18" customHeight="1">
      <c r="A49" s="21">
        <f t="shared" si="4"/>
        <v>41</v>
      </c>
      <c r="B49" s="23">
        <f t="shared" si="0"/>
        <v>50971439.499325968</v>
      </c>
      <c r="C49" s="29">
        <f>B49*(Inputs_Assumptions!$B$6/12)</f>
        <v>615904.89395018877</v>
      </c>
      <c r="D49" s="30">
        <f>IF(B49&lt;=0,0,MIN(B49,PPMT(Inputs_Assumptions!$B$6/12,1,Inputs_Assumptions!$B$5-A49+1,-B49)))</f>
        <v>6106825.4495780924</v>
      </c>
      <c r="E49" s="30">
        <f>MAX(0,(B49-D49)*Inputs_Assumptions!$B$15)</f>
        <v>475396.26442768675</v>
      </c>
      <c r="F49" s="30">
        <f>B49*Inputs_Assumptions!$B$16</f>
        <v>352945.75020854757</v>
      </c>
      <c r="G49" s="30">
        <f>F49*Inputs_Assumptions!$B$9</f>
        <v>229414.73763555594</v>
      </c>
      <c r="H49" s="30">
        <f>F49*(1-Inputs_Assumptions!$B$9)</f>
        <v>123531.01257299165</v>
      </c>
      <c r="I49" s="31">
        <f t="shared" si="1"/>
        <v>6582221.7140057795</v>
      </c>
      <c r="J49" s="31">
        <f t="shared" si="2"/>
        <v>7321657.6205289597</v>
      </c>
      <c r="K49" s="31">
        <f t="shared" si="3"/>
        <v>44036272.035111643</v>
      </c>
    </row>
    <row r="50" spans="1:11" ht="18" customHeight="1">
      <c r="A50" s="21">
        <f t="shared" si="4"/>
        <v>42</v>
      </c>
      <c r="B50" s="23">
        <f t="shared" si="0"/>
        <v>44036272.035111643</v>
      </c>
      <c r="C50" s="29">
        <f>B50*(Inputs_Assumptions!$B$6/12)</f>
        <v>532104.953757599</v>
      </c>
      <c r="D50" s="30">
        <f>IF(B50&lt;=0,0,MIN(B50,PPMT(Inputs_Assumptions!$B$6/12,1,Inputs_Assumptions!$B$5-A50+1,-B50)))</f>
        <v>6066502.623653952</v>
      </c>
      <c r="E50" s="30">
        <f>MAX(0,(B50-D50)*Inputs_Assumptions!$B$15)</f>
        <v>402336.82873928722</v>
      </c>
      <c r="F50" s="30">
        <f>B50*Inputs_Assumptions!$B$16</f>
        <v>304923.99709499459</v>
      </c>
      <c r="G50" s="30">
        <f>F50*Inputs_Assumptions!$B$9</f>
        <v>198200.59811174648</v>
      </c>
      <c r="H50" s="30">
        <f>F50*(1-Inputs_Assumptions!$B$9)</f>
        <v>106723.3989832481</v>
      </c>
      <c r="I50" s="31">
        <f t="shared" si="1"/>
        <v>6468839.4523932394</v>
      </c>
      <c r="J50" s="31">
        <f t="shared" si="2"/>
        <v>7107667.8051340869</v>
      </c>
      <c r="K50" s="31">
        <f t="shared" si="3"/>
        <v>37262508.585623406</v>
      </c>
    </row>
    <row r="51" spans="1:11" ht="18" customHeight="1">
      <c r="A51" s="21">
        <f t="shared" si="4"/>
        <v>43</v>
      </c>
      <c r="B51" s="23">
        <f t="shared" si="0"/>
        <v>37262508.585623406</v>
      </c>
      <c r="C51" s="29">
        <f>B51*(Inputs_Assumptions!$B$6/12)</f>
        <v>450255.3120762828</v>
      </c>
      <c r="D51" s="30">
        <f>IF(B51&lt;=0,0,MIN(B51,PPMT(Inputs_Assumptions!$B$6/12,1,Inputs_Assumptions!$B$5-A51+1,-B51)))</f>
        <v>6025440.3615524601</v>
      </c>
      <c r="E51" s="30">
        <f>MAX(0,(B51-D51)*Inputs_Assumptions!$B$15)</f>
        <v>330995.50413895899</v>
      </c>
      <c r="F51" s="30">
        <f>B51*Inputs_Assumptions!$B$16</f>
        <v>258019.86713714869</v>
      </c>
      <c r="G51" s="30">
        <f>F51*Inputs_Assumptions!$B$9</f>
        <v>167712.91363914666</v>
      </c>
      <c r="H51" s="30">
        <f>F51*(1-Inputs_Assumptions!$B$9)</f>
        <v>90306.95349800204</v>
      </c>
      <c r="I51" s="31">
        <f t="shared" si="1"/>
        <v>6356435.8656914188</v>
      </c>
      <c r="J51" s="31">
        <f t="shared" si="2"/>
        <v>6896998.1312657036</v>
      </c>
      <c r="K51" s="31">
        <f t="shared" si="3"/>
        <v>30648052.852794837</v>
      </c>
    </row>
    <row r="52" spans="1:11" ht="18" customHeight="1">
      <c r="A52" s="21">
        <f t="shared" si="4"/>
        <v>44</v>
      </c>
      <c r="B52" s="23">
        <f t="shared" si="0"/>
        <v>30648052.852794837</v>
      </c>
      <c r="C52" s="29">
        <f>B52*(Inputs_Assumptions!$B$6/12)</f>
        <v>370330.63863793761</v>
      </c>
      <c r="D52" s="30">
        <f>IF(B52&lt;=0,0,MIN(B52,PPMT(Inputs_Assumptions!$B$6/12,1,Inputs_Assumptions!$B$5-A52+1,-B52)))</f>
        <v>5983257.4074723469</v>
      </c>
      <c r="E52" s="30">
        <f>MAX(0,(B52-D52)*Inputs_Assumptions!$B$15)</f>
        <v>261354.11762547476</v>
      </c>
      <c r="F52" s="30">
        <f>B52*Inputs_Assumptions!$B$16</f>
        <v>212218.84476509504</v>
      </c>
      <c r="G52" s="30">
        <f>F52*Inputs_Assumptions!$B$9</f>
        <v>137942.24909731178</v>
      </c>
      <c r="H52" s="30">
        <f>F52*(1-Inputs_Assumptions!$B$9)</f>
        <v>74276.595667783258</v>
      </c>
      <c r="I52" s="31">
        <f t="shared" si="1"/>
        <v>6244611.5250978218</v>
      </c>
      <c r="J52" s="31">
        <f t="shared" si="2"/>
        <v>6689218.7594035426</v>
      </c>
      <c r="K52" s="31">
        <f t="shared" si="3"/>
        <v>24191222.482931919</v>
      </c>
    </row>
    <row r="53" spans="1:11" ht="18" customHeight="1">
      <c r="A53" s="21">
        <f t="shared" si="4"/>
        <v>45</v>
      </c>
      <c r="B53" s="23">
        <f t="shared" si="0"/>
        <v>24191222.482931919</v>
      </c>
      <c r="C53" s="29">
        <f>B53*(Inputs_Assumptions!$B$6/12)</f>
        <v>292310.605002094</v>
      </c>
      <c r="D53" s="30">
        <f>IF(B53&lt;=0,0,MIN(B53,PPMT(Inputs_Assumptions!$B$6/12,1,Inputs_Assumptions!$B$5-A53+1,-B53)))</f>
        <v>5939286.2606227919</v>
      </c>
      <c r="E53" s="30">
        <f>MAX(0,(B53-D53)*Inputs_Assumptions!$B$15)</f>
        <v>193401.91557285679</v>
      </c>
      <c r="F53" s="30">
        <f>B53*Inputs_Assumptions!$B$16</f>
        <v>167509.28071814013</v>
      </c>
      <c r="G53" s="30">
        <f>F53*Inputs_Assumptions!$B$9</f>
        <v>108881.03246679109</v>
      </c>
      <c r="H53" s="30">
        <f>F53*(1-Inputs_Assumptions!$B$9)</f>
        <v>58628.248251349039</v>
      </c>
      <c r="I53" s="31">
        <f t="shared" si="1"/>
        <v>6132688.1761956485</v>
      </c>
      <c r="J53" s="31">
        <f t="shared" si="2"/>
        <v>6483627.0294490913</v>
      </c>
      <c r="K53" s="31">
        <f t="shared" si="3"/>
        <v>17891025.026018132</v>
      </c>
    </row>
    <row r="54" spans="1:11" ht="18" customHeight="1">
      <c r="A54" s="21">
        <f t="shared" si="4"/>
        <v>46</v>
      </c>
      <c r="B54" s="23">
        <f t="shared" si="0"/>
        <v>17891025.026018132</v>
      </c>
      <c r="C54" s="29">
        <f>B54*(Inputs_Assumptions!$B$6/12)</f>
        <v>216183.21906438575</v>
      </c>
      <c r="D54" s="30">
        <f>IF(B54&lt;=0,0,MIN(B54,PPMT(Inputs_Assumptions!$B$6/12,1,Inputs_Assumptions!$B$5-A54+1,-B54)))</f>
        <v>5892190.9346146332</v>
      </c>
      <c r="E54" s="30">
        <f>MAX(0,(B54-D54)*Inputs_Assumptions!$B$15)</f>
        <v>127142.53817531404</v>
      </c>
      <c r="F54" s="30">
        <f>B54*Inputs_Assumptions!$B$16</f>
        <v>123884.30289263012</v>
      </c>
      <c r="G54" s="30">
        <f>F54*Inputs_Assumptions!$B$9</f>
        <v>80524.796880209586</v>
      </c>
      <c r="H54" s="30">
        <f>F54*(1-Inputs_Assumptions!$B$9)</f>
        <v>43359.506012420541</v>
      </c>
      <c r="I54" s="31">
        <f t="shared" si="1"/>
        <v>6019333.4727899469</v>
      </c>
      <c r="J54" s="31">
        <f t="shared" si="2"/>
        <v>6278876.1978667527</v>
      </c>
      <c r="K54" s="31">
        <f t="shared" si="3"/>
        <v>11747807.250335554</v>
      </c>
    </row>
    <row r="55" spans="1:11" ht="18" customHeight="1">
      <c r="A55" s="24">
        <f t="shared" si="4"/>
        <v>47</v>
      </c>
      <c r="B55" s="25">
        <f t="shared" si="0"/>
        <v>11747807.250335554</v>
      </c>
      <c r="C55" s="32">
        <f>B55*(Inputs_Assumptions!$B$6/12)</f>
        <v>141952.67094155459</v>
      </c>
      <c r="D55" s="33">
        <f>IF(B55&lt;=0,0,MIN(B55,PPMT(Inputs_Assumptions!$B$6/12,1,Inputs_Assumptions!$B$5-A55+1,-B55)))</f>
        <v>5838628.5775119755</v>
      </c>
      <c r="E55" s="33">
        <f>MAX(0,(B55-D55)*Inputs_Assumptions!$B$15)</f>
        <v>62615.081538004924</v>
      </c>
      <c r="F55" s="33">
        <f>B55*Inputs_Assumptions!$B$16</f>
        <v>81346.312444833471</v>
      </c>
      <c r="G55" s="33">
        <f>F55*Inputs_Assumptions!$B$9</f>
        <v>52875.103089141761</v>
      </c>
      <c r="H55" s="33">
        <f>F55*(1-Inputs_Assumptions!$B$9)</f>
        <v>28471.209355691713</v>
      </c>
      <c r="I55" s="34">
        <f t="shared" si="1"/>
        <v>5901243.6590499803</v>
      </c>
      <c r="J55" s="34">
        <f t="shared" si="2"/>
        <v>6071667.5393472267</v>
      </c>
      <c r="K55" s="34">
        <f t="shared" si="3"/>
        <v>5765217.2788407402</v>
      </c>
    </row>
    <row r="56" spans="1:11" ht="18" customHeight="1" thickBot="1">
      <c r="A56" s="26">
        <f t="shared" si="4"/>
        <v>48</v>
      </c>
      <c r="B56" s="27">
        <f t="shared" si="0"/>
        <v>5765217.2788407402</v>
      </c>
      <c r="C56" s="35">
        <f>B56*(Inputs_Assumptions!$B$6/12)</f>
        <v>69663.042119325604</v>
      </c>
      <c r="D56" s="36">
        <f>IF(B56&lt;=0,0,MIN(B56,PPMT(Inputs_Assumptions!$B$6/12,1,Inputs_Assumptions!$B$5-A56+1,-B56)))</f>
        <v>5765217.2788407402</v>
      </c>
      <c r="E56" s="36">
        <f>MAX(0,(B56-D56)*Inputs_Assumptions!$B$15)</f>
        <v>0</v>
      </c>
      <c r="F56" s="36">
        <f>B56*Inputs_Assumptions!$B$16</f>
        <v>39920.570373976472</v>
      </c>
      <c r="G56" s="36">
        <f>F56*Inputs_Assumptions!$B$9</f>
        <v>25948.370743084706</v>
      </c>
      <c r="H56" s="36">
        <f>F56*(1-Inputs_Assumptions!$B$9)</f>
        <v>13972.199630891764</v>
      </c>
      <c r="I56" s="37">
        <f t="shared" si="1"/>
        <v>5765217.2788407402</v>
      </c>
      <c r="J56" s="37">
        <f t="shared" si="2"/>
        <v>5848852.5205909573</v>
      </c>
      <c r="K56" s="37">
        <f t="shared" si="3"/>
        <v>0</v>
      </c>
    </row>
    <row r="57" spans="1:11" ht="17.100000000000001" thickTop="1"/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F8F0-1E6B-5142-82AB-D2A43105E18D}">
  <dimension ref="A7:AA57"/>
  <sheetViews>
    <sheetView showGridLines="0" topLeftCell="G6" workbookViewId="0">
      <selection activeCell="AA7" sqref="AA7"/>
    </sheetView>
  </sheetViews>
  <sheetFormatPr defaultColWidth="11" defaultRowHeight="15.95"/>
  <cols>
    <col min="1" max="1" width="8.625" customWidth="1"/>
    <col min="2" max="5" width="17.375" customWidth="1"/>
    <col min="6" max="6" width="20.875" customWidth="1"/>
    <col min="7" max="7" width="17.375" customWidth="1"/>
    <col min="8" max="8" width="20.875" customWidth="1"/>
    <col min="9" max="18" width="17.375" customWidth="1"/>
    <col min="19" max="19" width="29.125" customWidth="1"/>
    <col min="20" max="21" width="2" customWidth="1"/>
    <col min="22" max="22" width="12" customWidth="1"/>
    <col min="23" max="23" width="16.625" customWidth="1"/>
    <col min="24" max="24" width="17.5" customWidth="1"/>
    <col min="25" max="26" width="19.125" customWidth="1"/>
    <col min="27" max="27" width="14.125" customWidth="1"/>
  </cols>
  <sheetData>
    <row r="7" spans="1:27" s="1" customFormat="1" ht="54" customHeight="1" thickBot="1">
      <c r="A7" s="19" t="s">
        <v>16</v>
      </c>
      <c r="B7" s="19" t="s">
        <v>27</v>
      </c>
      <c r="C7" s="19" t="s">
        <v>28</v>
      </c>
      <c r="D7" s="19" t="s">
        <v>29</v>
      </c>
      <c r="E7" s="19" t="s">
        <v>30</v>
      </c>
      <c r="F7" s="19" t="s">
        <v>31</v>
      </c>
      <c r="G7" s="19" t="s">
        <v>32</v>
      </c>
      <c r="H7" s="19" t="s">
        <v>33</v>
      </c>
      <c r="I7" s="19" t="s">
        <v>34</v>
      </c>
      <c r="J7" s="19" t="s">
        <v>35</v>
      </c>
      <c r="K7" s="19" t="s">
        <v>36</v>
      </c>
      <c r="L7" s="19" t="s">
        <v>37</v>
      </c>
      <c r="M7" s="77" t="s">
        <v>38</v>
      </c>
      <c r="N7" s="77"/>
      <c r="O7" s="77"/>
      <c r="P7" s="77" t="s">
        <v>39</v>
      </c>
      <c r="Q7" s="77"/>
      <c r="R7" s="77"/>
      <c r="S7" s="19" t="s">
        <v>40</v>
      </c>
      <c r="T7" s="38"/>
      <c r="U7" s="38"/>
      <c r="V7" s="43" t="s">
        <v>41</v>
      </c>
      <c r="W7" s="43" t="s">
        <v>42</v>
      </c>
      <c r="X7" s="43" t="s">
        <v>43</v>
      </c>
      <c r="Y7" s="43" t="s">
        <v>44</v>
      </c>
      <c r="Z7" s="43" t="s">
        <v>45</v>
      </c>
      <c r="AA7" s="43" t="s">
        <v>46</v>
      </c>
    </row>
    <row r="8" spans="1:27" ht="20.100000000000001" customHeight="1">
      <c r="A8" s="20">
        <v>0</v>
      </c>
      <c r="B8" s="47">
        <f>Inputs_Assumptions!$B$4*Inputs_Assumptions!$B$19</f>
        <v>375000000</v>
      </c>
      <c r="C8" s="47">
        <f>Inputs_Assumptions!$B$4*Inputs_Assumptions!$B$21</f>
        <v>85000000</v>
      </c>
      <c r="D8" s="48">
        <f>Inputs_Assumptions!$B$4*Inputs_Assumptions!$B$23</f>
        <v>40000000</v>
      </c>
      <c r="E8" s="22"/>
      <c r="F8" s="22"/>
      <c r="G8" s="22"/>
      <c r="H8" s="22"/>
      <c r="I8" s="22"/>
      <c r="J8" s="22"/>
      <c r="K8" s="22"/>
      <c r="L8" s="22"/>
      <c r="M8" s="40"/>
      <c r="N8" s="40"/>
      <c r="O8" s="40"/>
      <c r="P8" s="40"/>
      <c r="Q8" s="40"/>
      <c r="R8" s="40"/>
      <c r="S8" s="22"/>
      <c r="T8" s="18"/>
      <c r="U8" s="18"/>
      <c r="V8" s="44" t="s">
        <v>47</v>
      </c>
      <c r="W8" s="52">
        <f>B8</f>
        <v>375000000</v>
      </c>
      <c r="X8" s="53">
        <f>SUM(K9:K56)</f>
        <v>375000000</v>
      </c>
      <c r="Y8" s="53">
        <f>SUM(O9:O56)</f>
        <v>0</v>
      </c>
      <c r="Z8" s="53">
        <f>SUM(G9:G56)</f>
        <v>32304167.634235978</v>
      </c>
      <c r="AA8" s="62">
        <f>Y8/W8</f>
        <v>0</v>
      </c>
    </row>
    <row r="9" spans="1:27" ht="20.100000000000001" customHeight="1">
      <c r="A9" s="39">
        <f t="shared" ref="A9:A56" si="0">A8+1</f>
        <v>1</v>
      </c>
      <c r="B9" s="23">
        <f t="shared" ref="B9:B56" si="1">MAX(0,B8-K9-O9)</f>
        <v>362036662.08484536</v>
      </c>
      <c r="C9" s="23">
        <f t="shared" ref="C9:C56" si="2">MAX(0,C8-L9-N9)</f>
        <v>85000000</v>
      </c>
      <c r="D9" s="49">
        <f t="shared" ref="D9:D56" si="3">MAX(0,D8-M9)</f>
        <v>37749575.645802692</v>
      </c>
      <c r="E9" s="29">
        <f>Pool_Amortization!B9*(Inputs_Assumptions!$B$10/12)</f>
        <v>208333.33333333334</v>
      </c>
      <c r="F9" s="29">
        <f>MAX(0,Pool_Amortization!J9-E9)</f>
        <v>20008438.208440367</v>
      </c>
      <c r="G9" s="29">
        <f>MIN(F9,B8*(Inputs_Assumptions!$B$20/12))</f>
        <v>1796875.0000000002</v>
      </c>
      <c r="H9" s="31">
        <f t="shared" ref="H9:H56" si="4">F9-G9</f>
        <v>18211563.208440367</v>
      </c>
      <c r="I9" s="29">
        <f>MIN(H9,C8*(Inputs_Assumptions!$B$22/12))</f>
        <v>584375</v>
      </c>
      <c r="J9" s="29">
        <f>Pool_Amortization!I9</f>
        <v>12963337.915154632</v>
      </c>
      <c r="K9" s="23">
        <f t="shared" ref="K9:K56" si="5">MIN(J9,B8)</f>
        <v>12963337.915154632</v>
      </c>
      <c r="L9" s="23">
        <f t="shared" ref="L9:L56" si="6">MIN(MAX(0,J9-K9),C8)</f>
        <v>0</v>
      </c>
      <c r="M9" s="30">
        <f>MIN(Pool_Amortization!G9,D8)</f>
        <v>2250424.3541973112</v>
      </c>
      <c r="N9" s="30">
        <f>MIN(MAX(0,Pool_Amortization!G9-M9),C8-L9)</f>
        <v>0</v>
      </c>
      <c r="O9" s="30">
        <f>MIN(MAX(0,Pool_Amortization!G9-M9-N9),B8-K9)</f>
        <v>0</v>
      </c>
      <c r="P9" s="31">
        <f t="shared" ref="P9:P56" si="7">MAX(0,B8-K9-O9)</f>
        <v>362036662.08484536</v>
      </c>
      <c r="Q9" s="31">
        <f t="shared" ref="Q9:Q56" si="8">MAX(0,C8-L9-N9)</f>
        <v>85000000</v>
      </c>
      <c r="R9" s="31">
        <f t="shared" ref="R9:R56" si="9">MAX(0,D8-M9)</f>
        <v>37749575.645802692</v>
      </c>
      <c r="S9" s="31">
        <f t="shared" ref="S9:S56" si="10">MAX(0,H9-I9-K9-L9)</f>
        <v>4663850.293285735</v>
      </c>
      <c r="T9" s="18"/>
      <c r="U9" s="18"/>
      <c r="V9" s="45" t="s">
        <v>48</v>
      </c>
      <c r="W9" s="54">
        <f>C8</f>
        <v>85000000</v>
      </c>
      <c r="X9" s="55">
        <f>SUM(L9:L56)</f>
        <v>54395278.780283689</v>
      </c>
      <c r="Y9" s="55">
        <f>SUM(N9:N56)</f>
        <v>5919017.1635585157</v>
      </c>
      <c r="Z9" s="55">
        <f>SUM(I9:I56)</f>
        <v>26051354.925331566</v>
      </c>
      <c r="AA9" s="61">
        <f>Y9/W9</f>
        <v>6.9635496041864892E-2</v>
      </c>
    </row>
    <row r="10" spans="1:27" ht="20.100000000000001" customHeight="1">
      <c r="A10" s="39">
        <f t="shared" si="0"/>
        <v>2</v>
      </c>
      <c r="B10" s="23">
        <f t="shared" si="1"/>
        <v>349291519.2768389</v>
      </c>
      <c r="C10" s="23">
        <f t="shared" si="2"/>
        <v>85000000</v>
      </c>
      <c r="D10" s="49">
        <f t="shared" si="3"/>
        <v>35573080.113621794</v>
      </c>
      <c r="E10" s="29">
        <f>Pool_Amortization!B10*(Inputs_Assumptions!$B$10/12)</f>
        <v>201489.36282112318</v>
      </c>
      <c r="F10" s="29">
        <f>MAX(0,Pool_Amortization!J10-E10)</f>
        <v>19558804.099710714</v>
      </c>
      <c r="G10" s="29">
        <f>MIN(F10,B9*(Inputs_Assumptions!$B$20/12))</f>
        <v>1734759.0058232176</v>
      </c>
      <c r="H10" s="31">
        <f t="shared" si="4"/>
        <v>17824045.093887497</v>
      </c>
      <c r="I10" s="29">
        <f>MIN(H10,C9*(Inputs_Assumptions!$B$22/12))</f>
        <v>584375</v>
      </c>
      <c r="J10" s="29">
        <f>Pool_Amortization!I10</f>
        <v>12745142.808006473</v>
      </c>
      <c r="K10" s="23">
        <f t="shared" si="5"/>
        <v>12745142.808006473</v>
      </c>
      <c r="L10" s="23">
        <f t="shared" si="6"/>
        <v>0</v>
      </c>
      <c r="M10" s="30">
        <f>MIN(Pool_Amortization!G10,D9)</f>
        <v>2176495.5321808988</v>
      </c>
      <c r="N10" s="30">
        <f>MIN(MAX(0,Pool_Amortization!G10-M10),C9-L10)</f>
        <v>0</v>
      </c>
      <c r="O10" s="30">
        <f>MIN(MAX(0,Pool_Amortization!G10-M10-N10),B9-K10)</f>
        <v>0</v>
      </c>
      <c r="P10" s="31">
        <f t="shared" si="7"/>
        <v>349291519.2768389</v>
      </c>
      <c r="Q10" s="31">
        <f t="shared" si="8"/>
        <v>85000000</v>
      </c>
      <c r="R10" s="31">
        <f t="shared" si="9"/>
        <v>35573080.113621794</v>
      </c>
      <c r="S10" s="31">
        <f t="shared" si="10"/>
        <v>4494527.2858810239</v>
      </c>
      <c r="T10" s="18"/>
      <c r="U10" s="18"/>
      <c r="V10" s="46" t="s">
        <v>49</v>
      </c>
      <c r="W10" s="56">
        <f>D8</f>
        <v>40000000</v>
      </c>
      <c r="X10" s="57">
        <f>0</f>
        <v>0</v>
      </c>
      <c r="Y10" s="57">
        <f>SUM(M9:M56)</f>
        <v>40000000</v>
      </c>
      <c r="Z10" s="57">
        <f>SUM(S9:S56)</f>
        <v>85650498.073885113</v>
      </c>
      <c r="AA10" s="63">
        <f>Y10/W10</f>
        <v>1</v>
      </c>
    </row>
    <row r="11" spans="1:27" ht="18" customHeight="1">
      <c r="A11" s="39">
        <f t="shared" si="0"/>
        <v>3</v>
      </c>
      <c r="B11" s="23">
        <f t="shared" si="1"/>
        <v>336760824.02319717</v>
      </c>
      <c r="C11" s="23">
        <f t="shared" si="2"/>
        <v>85000000</v>
      </c>
      <c r="D11" s="49">
        <f t="shared" si="3"/>
        <v>33469019.42884022</v>
      </c>
      <c r="E11" s="29">
        <f>Pool_Amortization!B11*(Inputs_Assumptions!$B$10/12)</f>
        <v>194783.69720741481</v>
      </c>
      <c r="F11" s="29">
        <f>MAX(0,Pool_Amortization!J11-E11)</f>
        <v>19117594.528793268</v>
      </c>
      <c r="G11" s="29">
        <f>MIN(F11,B10*(Inputs_Assumptions!$B$20/12))</f>
        <v>1673688.5298681865</v>
      </c>
      <c r="H11" s="31">
        <f t="shared" si="4"/>
        <v>17443905.998925082</v>
      </c>
      <c r="I11" s="29">
        <f>MIN(H11,C10*(Inputs_Assumptions!$B$22/12))</f>
        <v>584375</v>
      </c>
      <c r="J11" s="29">
        <f>Pool_Amortization!I11</f>
        <v>12530695.253641728</v>
      </c>
      <c r="K11" s="23">
        <f t="shared" si="5"/>
        <v>12530695.253641728</v>
      </c>
      <c r="L11" s="23">
        <f t="shared" si="6"/>
        <v>0</v>
      </c>
      <c r="M11" s="30">
        <f>MIN(Pool_Amortization!G11,D10)</f>
        <v>2104060.6847815728</v>
      </c>
      <c r="N11" s="30">
        <f>MIN(MAX(0,Pool_Amortization!G11-M11),C10-L11)</f>
        <v>0</v>
      </c>
      <c r="O11" s="30">
        <f>MIN(MAX(0,Pool_Amortization!G11-M11-N11),B10-K11)</f>
        <v>0</v>
      </c>
      <c r="P11" s="31">
        <f t="shared" si="7"/>
        <v>336760824.02319717</v>
      </c>
      <c r="Q11" s="31">
        <f t="shared" si="8"/>
        <v>85000000</v>
      </c>
      <c r="R11" s="31">
        <f t="shared" si="9"/>
        <v>33469019.42884022</v>
      </c>
      <c r="S11" s="31">
        <f t="shared" si="10"/>
        <v>4328835.7452833541</v>
      </c>
      <c r="T11" s="18"/>
      <c r="U11" s="18"/>
      <c r="V11" s="18"/>
      <c r="W11" s="18"/>
      <c r="X11" s="18"/>
      <c r="Y11" s="18"/>
      <c r="Z11" s="18"/>
      <c r="AA11" s="18"/>
    </row>
    <row r="12" spans="1:27" ht="18" customHeight="1">
      <c r="A12" s="39">
        <f t="shared" si="0"/>
        <v>4</v>
      </c>
      <c r="B12" s="23">
        <f t="shared" si="1"/>
        <v>324440894.97115618</v>
      </c>
      <c r="C12" s="23">
        <f t="shared" si="2"/>
        <v>85000000</v>
      </c>
      <c r="D12" s="49">
        <f t="shared" si="3"/>
        <v>31435926.828860875</v>
      </c>
      <c r="E12" s="29">
        <f>Pool_Amortization!B12*(Inputs_Assumptions!$B$10/12)</f>
        <v>188213.81733584512</v>
      </c>
      <c r="F12" s="29">
        <f>MAX(0,Pool_Amortization!J12-E12)</f>
        <v>18684658.106664307</v>
      </c>
      <c r="G12" s="29">
        <f>MIN(F12,B11*(Inputs_Assumptions!$B$20/12))</f>
        <v>1613645.6151111533</v>
      </c>
      <c r="H12" s="31">
        <f t="shared" si="4"/>
        <v>17071012.491553154</v>
      </c>
      <c r="I12" s="29">
        <f>MIN(H12,C11*(Inputs_Assumptions!$B$22/12))</f>
        <v>584375</v>
      </c>
      <c r="J12" s="29">
        <f>Pool_Amortization!I12</f>
        <v>12319929.052040998</v>
      </c>
      <c r="K12" s="23">
        <f t="shared" si="5"/>
        <v>12319929.052040998</v>
      </c>
      <c r="L12" s="23">
        <f t="shared" si="6"/>
        <v>0</v>
      </c>
      <c r="M12" s="30">
        <f>MIN(Pool_Amortization!G12,D11)</f>
        <v>2033092.5999793438</v>
      </c>
      <c r="N12" s="30">
        <f>MIN(MAX(0,Pool_Amortization!G12-M12),C11-L12)</f>
        <v>0</v>
      </c>
      <c r="O12" s="30">
        <f>MIN(MAX(0,Pool_Amortization!G12-M12-N12),B11-K12)</f>
        <v>0</v>
      </c>
      <c r="P12" s="31">
        <f t="shared" si="7"/>
        <v>324440894.97115618</v>
      </c>
      <c r="Q12" s="31">
        <f t="shared" si="8"/>
        <v>85000000</v>
      </c>
      <c r="R12" s="31">
        <f t="shared" si="9"/>
        <v>31435926.828860875</v>
      </c>
      <c r="S12" s="31">
        <f t="shared" si="10"/>
        <v>4166708.439512156</v>
      </c>
      <c r="T12" s="18"/>
      <c r="U12" s="18"/>
      <c r="V12" s="18"/>
      <c r="W12" s="18"/>
      <c r="X12" s="18"/>
      <c r="Y12" s="18"/>
      <c r="Z12" s="18"/>
      <c r="AA12" s="18"/>
    </row>
    <row r="13" spans="1:27" ht="18" customHeight="1">
      <c r="A13" s="39">
        <f t="shared" si="0"/>
        <v>5</v>
      </c>
      <c r="B13" s="23">
        <f t="shared" si="1"/>
        <v>312328115.8675456</v>
      </c>
      <c r="C13" s="23">
        <f t="shared" si="2"/>
        <v>85000000</v>
      </c>
      <c r="D13" s="49">
        <f t="shared" si="3"/>
        <v>29472362.276723944</v>
      </c>
      <c r="E13" s="29">
        <f>Pool_Amortization!B13*(Inputs_Assumptions!$B$10/12)</f>
        <v>181777.24907699513</v>
      </c>
      <c r="F13" s="29">
        <f>MAX(0,Pool_Amortization!J13-E13)</f>
        <v>18259846.067378633</v>
      </c>
      <c r="G13" s="29">
        <f>MIN(F13,B12*(Inputs_Assumptions!$B$20/12))</f>
        <v>1554612.6217367903</v>
      </c>
      <c r="H13" s="31">
        <f t="shared" si="4"/>
        <v>16705233.445641842</v>
      </c>
      <c r="I13" s="29">
        <f>MIN(H13,C12*(Inputs_Assumptions!$B$22/12))</f>
        <v>584375</v>
      </c>
      <c r="J13" s="29">
        <f>Pool_Amortization!I13</f>
        <v>12112779.103610579</v>
      </c>
      <c r="K13" s="23">
        <f t="shared" si="5"/>
        <v>12112779.103610579</v>
      </c>
      <c r="L13" s="23">
        <f t="shared" si="6"/>
        <v>0</v>
      </c>
      <c r="M13" s="30">
        <f>MIN(Pool_Amortization!G13,D12)</f>
        <v>1963564.5521369304</v>
      </c>
      <c r="N13" s="30">
        <f>MIN(MAX(0,Pool_Amortization!G13-M13),C12-L13)</f>
        <v>0</v>
      </c>
      <c r="O13" s="30">
        <f>MIN(MAX(0,Pool_Amortization!G13-M13-N13),B12-K13)</f>
        <v>0</v>
      </c>
      <c r="P13" s="31">
        <f t="shared" si="7"/>
        <v>312328115.8675456</v>
      </c>
      <c r="Q13" s="31">
        <f t="shared" si="8"/>
        <v>85000000</v>
      </c>
      <c r="R13" s="31">
        <f t="shared" si="9"/>
        <v>29472362.276723944</v>
      </c>
      <c r="S13" s="31">
        <f t="shared" si="10"/>
        <v>4008079.3420312628</v>
      </c>
      <c r="T13" s="18"/>
      <c r="U13" s="18"/>
      <c r="V13" s="18"/>
      <c r="W13" s="18"/>
      <c r="X13" s="18"/>
      <c r="Y13" s="18"/>
      <c r="Z13" s="18"/>
      <c r="AA13" s="18"/>
    </row>
    <row r="14" spans="1:27" ht="18" customHeight="1">
      <c r="A14" s="39">
        <f t="shared" si="0"/>
        <v>6</v>
      </c>
      <c r="B14" s="23">
        <f t="shared" si="1"/>
        <v>300418934.48296738</v>
      </c>
      <c r="C14" s="23">
        <f t="shared" si="2"/>
        <v>85000000</v>
      </c>
      <c r="D14" s="49">
        <f t="shared" si="3"/>
        <v>27576911.98304493</v>
      </c>
      <c r="E14" s="29">
        <f>Pool_Amortization!B14*(Inputs_Assumptions!$B$10/12)</f>
        <v>175471.56255809523</v>
      </c>
      <c r="F14" s="29">
        <f>MAX(0,Pool_Amortization!J14-E14)</f>
        <v>17843012.217416678</v>
      </c>
      <c r="G14" s="29">
        <f>MIN(F14,B13*(Inputs_Assumptions!$B$20/12))</f>
        <v>1496572.2218653229</v>
      </c>
      <c r="H14" s="31">
        <f t="shared" si="4"/>
        <v>16346439.995551355</v>
      </c>
      <c r="I14" s="29">
        <f>MIN(H14,C13*(Inputs_Assumptions!$B$22/12))</f>
        <v>584375</v>
      </c>
      <c r="J14" s="29">
        <f>Pool_Amortization!I14</f>
        <v>11909181.384578235</v>
      </c>
      <c r="K14" s="23">
        <f t="shared" si="5"/>
        <v>11909181.384578235</v>
      </c>
      <c r="L14" s="23">
        <f t="shared" si="6"/>
        <v>0</v>
      </c>
      <c r="M14" s="30">
        <f>MIN(Pool_Amortization!G14,D13)</f>
        <v>1895450.2936790141</v>
      </c>
      <c r="N14" s="30">
        <f>MIN(MAX(0,Pool_Amortization!G14-M14),C13-L14)</f>
        <v>0</v>
      </c>
      <c r="O14" s="30">
        <f>MIN(MAX(0,Pool_Amortization!G14-M14-N14),B13-K14)</f>
        <v>0</v>
      </c>
      <c r="P14" s="31">
        <f t="shared" si="7"/>
        <v>300418934.48296738</v>
      </c>
      <c r="Q14" s="31">
        <f t="shared" si="8"/>
        <v>85000000</v>
      </c>
      <c r="R14" s="31">
        <f t="shared" si="9"/>
        <v>27576911.98304493</v>
      </c>
      <c r="S14" s="31">
        <f t="shared" si="10"/>
        <v>3852883.6109731197</v>
      </c>
      <c r="T14" s="18"/>
      <c r="U14" s="18"/>
      <c r="V14" s="18"/>
      <c r="W14" s="18"/>
      <c r="X14" s="18"/>
      <c r="Y14" s="18"/>
      <c r="Z14" s="18"/>
      <c r="AA14" s="18"/>
    </row>
    <row r="15" spans="1:27" ht="18" customHeight="1">
      <c r="A15" s="39">
        <f t="shared" si="0"/>
        <v>7</v>
      </c>
      <c r="B15" s="23">
        <f t="shared" si="1"/>
        <v>288709861.56077993</v>
      </c>
      <c r="C15" s="23">
        <f t="shared" si="2"/>
        <v>85000000</v>
      </c>
      <c r="D15" s="49">
        <f t="shared" si="3"/>
        <v>25748187.936105087</v>
      </c>
      <c r="E15" s="29">
        <f>Pool_Amortization!B15*(Inputs_Assumptions!$B$10/12)</f>
        <v>169294.37140831645</v>
      </c>
      <c r="F15" s="29">
        <f>MAX(0,Pool_Amortization!J15-E15)</f>
        <v>17434012.885357141</v>
      </c>
      <c r="G15" s="29">
        <f>MIN(F15,B14*(Inputs_Assumptions!$B$20/12))</f>
        <v>1439507.3943975521</v>
      </c>
      <c r="H15" s="31">
        <f t="shared" si="4"/>
        <v>15994505.490959588</v>
      </c>
      <c r="I15" s="29">
        <f>MIN(H15,C14*(Inputs_Assumptions!$B$22/12))</f>
        <v>584375</v>
      </c>
      <c r="J15" s="29">
        <f>Pool_Amortization!I15</f>
        <v>11709072.922187446</v>
      </c>
      <c r="K15" s="23">
        <f t="shared" si="5"/>
        <v>11709072.922187446</v>
      </c>
      <c r="L15" s="23">
        <f t="shared" si="6"/>
        <v>0</v>
      </c>
      <c r="M15" s="30">
        <f>MIN(Pool_Amortization!G15,D14)</f>
        <v>1828724.0469398412</v>
      </c>
      <c r="N15" s="30">
        <f>MIN(MAX(0,Pool_Amortization!G15-M15),C14-L15)</f>
        <v>0</v>
      </c>
      <c r="O15" s="30">
        <f>MIN(MAX(0,Pool_Amortization!G15-M15-N15),B14-K15)</f>
        <v>0</v>
      </c>
      <c r="P15" s="31">
        <f t="shared" si="7"/>
        <v>288709861.56077993</v>
      </c>
      <c r="Q15" s="31">
        <f t="shared" si="8"/>
        <v>85000000</v>
      </c>
      <c r="R15" s="31">
        <f t="shared" si="9"/>
        <v>25748187.936105087</v>
      </c>
      <c r="S15" s="31">
        <f t="shared" si="10"/>
        <v>3701057.5687721428</v>
      </c>
      <c r="T15" s="18"/>
      <c r="U15" s="18"/>
      <c r="V15" s="18"/>
      <c r="W15" s="18"/>
      <c r="X15" s="18"/>
      <c r="Y15" s="18"/>
      <c r="Z15" s="18"/>
      <c r="AA15" s="18"/>
    </row>
    <row r="16" spans="1:27" ht="18" customHeight="1">
      <c r="A16" s="39">
        <f t="shared" si="0"/>
        <v>8</v>
      </c>
      <c r="B16" s="23">
        <f t="shared" si="1"/>
        <v>277197469.79117846</v>
      </c>
      <c r="C16" s="23">
        <f t="shared" si="2"/>
        <v>85000000</v>
      </c>
      <c r="D16" s="49">
        <f t="shared" si="3"/>
        <v>23984827.439926155</v>
      </c>
      <c r="E16" s="29">
        <f>Pool_Amortization!B16*(Inputs_Assumptions!$B$10/12)</f>
        <v>163243.33201962305</v>
      </c>
      <c r="F16" s="29">
        <f>MAX(0,Pool_Amortization!J16-E16)</f>
        <v>17032706.871785711</v>
      </c>
      <c r="G16" s="29">
        <f>MIN(F16,B15*(Inputs_Assumptions!$B$20/12))</f>
        <v>1383401.4199787374</v>
      </c>
      <c r="H16" s="31">
        <f t="shared" si="4"/>
        <v>15649305.451806974</v>
      </c>
      <c r="I16" s="29">
        <f>MIN(H16,C15*(Inputs_Assumptions!$B$22/12))</f>
        <v>584375</v>
      </c>
      <c r="J16" s="29">
        <f>Pool_Amortization!I16</f>
        <v>11512391.769601459</v>
      </c>
      <c r="K16" s="23">
        <f t="shared" si="5"/>
        <v>11512391.769601459</v>
      </c>
      <c r="L16" s="23">
        <f t="shared" si="6"/>
        <v>0</v>
      </c>
      <c r="M16" s="30">
        <f>MIN(Pool_Amortization!G16,D15)</f>
        <v>1763360.4961789318</v>
      </c>
      <c r="N16" s="30">
        <f>MIN(MAX(0,Pool_Amortization!G16-M16),C15-L16)</f>
        <v>0</v>
      </c>
      <c r="O16" s="30">
        <f>MIN(MAX(0,Pool_Amortization!G16-M16-N16),B15-K16)</f>
        <v>0</v>
      </c>
      <c r="P16" s="31">
        <f t="shared" si="7"/>
        <v>277197469.79117846</v>
      </c>
      <c r="Q16" s="31">
        <f t="shared" si="8"/>
        <v>85000000</v>
      </c>
      <c r="R16" s="31">
        <f t="shared" si="9"/>
        <v>23984827.439926155</v>
      </c>
      <c r="S16" s="31">
        <f t="shared" si="10"/>
        <v>3552538.682205515</v>
      </c>
      <c r="T16" s="18"/>
      <c r="U16" s="18"/>
      <c r="V16" s="18"/>
      <c r="W16" s="18"/>
      <c r="X16" s="18"/>
      <c r="Y16" s="18"/>
      <c r="Z16" s="18"/>
      <c r="AA16" s="18"/>
    </row>
    <row r="17" spans="1:27" ht="18" customHeight="1">
      <c r="A17" s="39">
        <f t="shared" si="0"/>
        <v>9</v>
      </c>
      <c r="B17" s="23">
        <f t="shared" si="1"/>
        <v>265878392.8107647</v>
      </c>
      <c r="C17" s="23">
        <f t="shared" si="2"/>
        <v>85000000</v>
      </c>
      <c r="D17" s="49">
        <f t="shared" si="3"/>
        <v>22285492.660161138</v>
      </c>
      <c r="E17" s="29">
        <f>Pool_Amortization!B17*(Inputs_Assumptions!$B$10/12)</f>
        <v>157316.14282320006</v>
      </c>
      <c r="F17" s="29">
        <f>MAX(0,Pool_Amortization!J17-E17)</f>
        <v>16638955.39933683</v>
      </c>
      <c r="G17" s="29">
        <f>MIN(F17,B16*(Inputs_Assumptions!$B$20/12))</f>
        <v>1328237.8760827302</v>
      </c>
      <c r="H17" s="31">
        <f t="shared" si="4"/>
        <v>15310717.5232541</v>
      </c>
      <c r="I17" s="29">
        <f>MIN(H17,C16*(Inputs_Assumptions!$B$22/12))</f>
        <v>584375</v>
      </c>
      <c r="J17" s="29">
        <f>Pool_Amortization!I17</f>
        <v>11319076.980413755</v>
      </c>
      <c r="K17" s="23">
        <f t="shared" si="5"/>
        <v>11319076.980413755</v>
      </c>
      <c r="L17" s="23">
        <f t="shared" si="6"/>
        <v>0</v>
      </c>
      <c r="M17" s="30">
        <f>MIN(Pool_Amortization!G17,D16)</f>
        <v>1699334.7797650173</v>
      </c>
      <c r="N17" s="30">
        <f>MIN(MAX(0,Pool_Amortization!G17-M17),C16-L17)</f>
        <v>0</v>
      </c>
      <c r="O17" s="30">
        <f>MIN(MAX(0,Pool_Amortization!G17-M17-N17),B16-K17)</f>
        <v>0</v>
      </c>
      <c r="P17" s="31">
        <f t="shared" si="7"/>
        <v>265878392.8107647</v>
      </c>
      <c r="Q17" s="31">
        <f t="shared" si="8"/>
        <v>85000000</v>
      </c>
      <c r="R17" s="31">
        <f t="shared" si="9"/>
        <v>22285492.660161138</v>
      </c>
      <c r="S17" s="31">
        <f t="shared" si="10"/>
        <v>3407265.5428403448</v>
      </c>
      <c r="T17" s="18"/>
      <c r="U17" s="18"/>
      <c r="V17" s="18"/>
      <c r="W17" s="18"/>
      <c r="X17" s="18"/>
      <c r="Y17" s="18"/>
      <c r="Z17" s="18"/>
      <c r="AA17" s="18"/>
    </row>
    <row r="18" spans="1:27" ht="18" customHeight="1">
      <c r="A18" s="39">
        <f t="shared" si="0"/>
        <v>10</v>
      </c>
      <c r="B18" s="23">
        <f t="shared" si="1"/>
        <v>254749324.22812065</v>
      </c>
      <c r="C18" s="23">
        <f t="shared" si="2"/>
        <v>85000000</v>
      </c>
      <c r="D18" s="49">
        <f t="shared" si="3"/>
        <v>20648870.177632306</v>
      </c>
      <c r="E18" s="29">
        <f>Pool_Amortization!B18*(Inputs_Assumptions!$B$10/12)</f>
        <v>151510.54358151165</v>
      </c>
      <c r="F18" s="29">
        <f>MAX(0,Pool_Amortization!J18-E18)</f>
        <v>16252622.062749602</v>
      </c>
      <c r="G18" s="29">
        <f>MIN(F18,B17*(Inputs_Assumptions!$B$20/12))</f>
        <v>1274000.6322182477</v>
      </c>
      <c r="H18" s="31">
        <f t="shared" si="4"/>
        <v>14978621.430531355</v>
      </c>
      <c r="I18" s="29">
        <f>MIN(H18,C17*(Inputs_Assumptions!$B$22/12))</f>
        <v>584375</v>
      </c>
      <c r="J18" s="29">
        <f>Pool_Amortization!I18</f>
        <v>11129068.582644057</v>
      </c>
      <c r="K18" s="23">
        <f t="shared" si="5"/>
        <v>11129068.582644057</v>
      </c>
      <c r="L18" s="23">
        <f t="shared" si="6"/>
        <v>0</v>
      </c>
      <c r="M18" s="30">
        <f>MIN(Pool_Amortization!G18,D17)</f>
        <v>1636622.482528833</v>
      </c>
      <c r="N18" s="30">
        <f>MIN(MAX(0,Pool_Amortization!G18-M18),C17-L18)</f>
        <v>0</v>
      </c>
      <c r="O18" s="30">
        <f>MIN(MAX(0,Pool_Amortization!G18-M18-N18),B17-K18)</f>
        <v>0</v>
      </c>
      <c r="P18" s="31">
        <f t="shared" si="7"/>
        <v>254749324.22812065</v>
      </c>
      <c r="Q18" s="31">
        <f t="shared" si="8"/>
        <v>85000000</v>
      </c>
      <c r="R18" s="31">
        <f t="shared" si="9"/>
        <v>20648870.177632306</v>
      </c>
      <c r="S18" s="31">
        <f t="shared" si="10"/>
        <v>3265177.8478872981</v>
      </c>
      <c r="T18" s="18"/>
      <c r="U18" s="18"/>
      <c r="V18" s="18"/>
      <c r="W18" s="18"/>
      <c r="X18" s="18"/>
      <c r="Y18" s="18"/>
      <c r="Z18" s="18"/>
      <c r="AA18" s="18"/>
    </row>
    <row r="19" spans="1:27" ht="18" customHeight="1">
      <c r="A19" s="39">
        <f t="shared" si="0"/>
        <v>11</v>
      </c>
      <c r="B19" s="23">
        <f t="shared" si="1"/>
        <v>243807016.67604309</v>
      </c>
      <c r="C19" s="23">
        <f t="shared" si="2"/>
        <v>85000000</v>
      </c>
      <c r="D19" s="49">
        <f t="shared" si="3"/>
        <v>19073670.54934641</v>
      </c>
      <c r="E19" s="29">
        <f>Pool_Amortization!B19*(Inputs_Assumptions!$B$10/12)</f>
        <v>145824.31469609658</v>
      </c>
      <c r="F19" s="29">
        <f>MAX(0,Pool_Amortization!J19-E19)</f>
        <v>15873572.778799128</v>
      </c>
      <c r="G19" s="29">
        <f>MIN(F19,B18*(Inputs_Assumptions!$B$20/12))</f>
        <v>1220673.8452597449</v>
      </c>
      <c r="H19" s="31">
        <f t="shared" si="4"/>
        <v>14652898.933539383</v>
      </c>
      <c r="I19" s="29">
        <f>MIN(H19,C18*(Inputs_Assumptions!$B$22/12))</f>
        <v>584375</v>
      </c>
      <c r="J19" s="29">
        <f>Pool_Amortization!I19</f>
        <v>10942307.552077552</v>
      </c>
      <c r="K19" s="23">
        <f t="shared" si="5"/>
        <v>10942307.552077552</v>
      </c>
      <c r="L19" s="23">
        <f t="shared" si="6"/>
        <v>0</v>
      </c>
      <c r="M19" s="30">
        <f>MIN(Pool_Amortization!G19,D18)</f>
        <v>1575199.6282858974</v>
      </c>
      <c r="N19" s="30">
        <f>MIN(MAX(0,Pool_Amortization!G19-M19),C18-L19)</f>
        <v>0</v>
      </c>
      <c r="O19" s="30">
        <f>MIN(MAX(0,Pool_Amortization!G19-M19-N19),B18-K19)</f>
        <v>0</v>
      </c>
      <c r="P19" s="31">
        <f t="shared" si="7"/>
        <v>243807016.67604309</v>
      </c>
      <c r="Q19" s="31">
        <f t="shared" si="8"/>
        <v>85000000</v>
      </c>
      <c r="R19" s="31">
        <f t="shared" si="9"/>
        <v>19073670.54934641</v>
      </c>
      <c r="S19" s="31">
        <f t="shared" si="10"/>
        <v>3126216.3814618308</v>
      </c>
      <c r="T19" s="18"/>
      <c r="U19" s="18"/>
      <c r="V19" s="18"/>
      <c r="W19" s="18"/>
      <c r="X19" s="18"/>
      <c r="Y19" s="18"/>
      <c r="Z19" s="18"/>
      <c r="AA19" s="18"/>
    </row>
    <row r="20" spans="1:27" ht="18" customHeight="1">
      <c r="A20" s="39">
        <f t="shared" si="0"/>
        <v>12</v>
      </c>
      <c r="B20" s="23">
        <f t="shared" si="1"/>
        <v>233048280.89126408</v>
      </c>
      <c r="C20" s="23">
        <f t="shared" si="2"/>
        <v>85000000</v>
      </c>
      <c r="D20" s="49">
        <f t="shared" si="3"/>
        <v>17558627.876815345</v>
      </c>
      <c r="E20" s="29">
        <f>Pool_Amortization!B20*(Inputs_Assumptions!$B$10/12)</f>
        <v>140255.27653126561</v>
      </c>
      <c r="F20" s="29">
        <f>MAX(0,Pool_Amortization!J20-E20)</f>
        <v>15501675.735940404</v>
      </c>
      <c r="G20" s="29">
        <f>MIN(F20,B19*(Inputs_Assumptions!$B$20/12))</f>
        <v>1168241.9549060399</v>
      </c>
      <c r="H20" s="31">
        <f t="shared" si="4"/>
        <v>14333433.781034365</v>
      </c>
      <c r="I20" s="29">
        <f>MIN(H20,C19*(Inputs_Assumptions!$B$22/12))</f>
        <v>584375</v>
      </c>
      <c r="J20" s="29">
        <f>Pool_Amortization!I20</f>
        <v>10758735.784779012</v>
      </c>
      <c r="K20" s="23">
        <f t="shared" si="5"/>
        <v>10758735.784779012</v>
      </c>
      <c r="L20" s="23">
        <f t="shared" si="6"/>
        <v>0</v>
      </c>
      <c r="M20" s="30">
        <f>MIN(Pool_Amortization!G20,D19)</f>
        <v>1515042.6725310658</v>
      </c>
      <c r="N20" s="30">
        <f>MIN(MAX(0,Pool_Amortization!G20-M20),C19-L20)</f>
        <v>0</v>
      </c>
      <c r="O20" s="30">
        <f>MIN(MAX(0,Pool_Amortization!G20-M20-N20),B19-K20)</f>
        <v>0</v>
      </c>
      <c r="P20" s="31">
        <f t="shared" si="7"/>
        <v>233048280.89126408</v>
      </c>
      <c r="Q20" s="31">
        <f t="shared" si="8"/>
        <v>85000000</v>
      </c>
      <c r="R20" s="31">
        <f t="shared" si="9"/>
        <v>17558627.876815345</v>
      </c>
      <c r="S20" s="31">
        <f t="shared" si="10"/>
        <v>2990322.9962553531</v>
      </c>
      <c r="T20" s="18"/>
      <c r="U20" s="18"/>
      <c r="V20" s="18"/>
      <c r="W20" s="18"/>
      <c r="X20" s="18"/>
      <c r="Y20" s="18"/>
      <c r="Z20" s="18"/>
      <c r="AA20" s="18"/>
    </row>
    <row r="21" spans="1:27" ht="18" customHeight="1">
      <c r="A21" s="39">
        <f t="shared" si="0"/>
        <v>13</v>
      </c>
      <c r="B21" s="23">
        <f t="shared" si="1"/>
        <v>222469984.82268265</v>
      </c>
      <c r="C21" s="23">
        <f t="shared" si="2"/>
        <v>85000000</v>
      </c>
      <c r="D21" s="49">
        <f t="shared" si="3"/>
        <v>16102499.381507967</v>
      </c>
      <c r="E21" s="29">
        <f>Pool_Amortization!B21*(Inputs_Assumptions!$B$10/12)</f>
        <v>134801.28875393394</v>
      </c>
      <c r="F21" s="29">
        <f>MAX(0,Pool_Amortization!J21-E21)</f>
        <v>15136801.343472475</v>
      </c>
      <c r="G21" s="29">
        <f>MIN(F21,B20*(Inputs_Assumptions!$B$20/12))</f>
        <v>1116689.6792706405</v>
      </c>
      <c r="H21" s="31">
        <f t="shared" si="4"/>
        <v>14020111.664201835</v>
      </c>
      <c r="I21" s="29">
        <f>MIN(H21,C20*(Inputs_Assumptions!$B$22/12))</f>
        <v>584375</v>
      </c>
      <c r="J21" s="29">
        <f>Pool_Amortization!I21</f>
        <v>10578296.068581428</v>
      </c>
      <c r="K21" s="23">
        <f t="shared" si="5"/>
        <v>10578296.068581428</v>
      </c>
      <c r="L21" s="23">
        <f t="shared" si="6"/>
        <v>0</v>
      </c>
      <c r="M21" s="30">
        <f>MIN(Pool_Amortization!G21,D20)</f>
        <v>1456128.495307378</v>
      </c>
      <c r="N21" s="30">
        <f>MIN(MAX(0,Pool_Amortization!G21-M21),C20-L21)</f>
        <v>0</v>
      </c>
      <c r="O21" s="30">
        <f>MIN(MAX(0,Pool_Amortization!G21-M21-N21),B20-K21)</f>
        <v>0</v>
      </c>
      <c r="P21" s="31">
        <f t="shared" si="7"/>
        <v>222469984.82268265</v>
      </c>
      <c r="Q21" s="31">
        <f t="shared" si="8"/>
        <v>85000000</v>
      </c>
      <c r="R21" s="31">
        <f t="shared" si="9"/>
        <v>16102499.381507967</v>
      </c>
      <c r="S21" s="31">
        <f t="shared" si="10"/>
        <v>2857440.5956204068</v>
      </c>
      <c r="T21" s="18"/>
      <c r="U21" s="18"/>
      <c r="V21" s="18"/>
      <c r="W21" s="18"/>
      <c r="X21" s="18"/>
      <c r="Y21" s="18"/>
      <c r="Z21" s="18"/>
      <c r="AA21" s="18"/>
    </row>
    <row r="22" spans="1:27" ht="18" customHeight="1">
      <c r="A22" s="39">
        <f t="shared" si="0"/>
        <v>14</v>
      </c>
      <c r="B22" s="23">
        <f t="shared" si="1"/>
        <v>212069052.76937306</v>
      </c>
      <c r="C22" s="23">
        <f t="shared" si="2"/>
        <v>85000000</v>
      </c>
      <c r="D22" s="49">
        <f t="shared" si="3"/>
        <v>14704064.987255357</v>
      </c>
      <c r="E22" s="29">
        <f>Pool_Amortization!B22*(Inputs_Assumptions!$B$10/12)</f>
        <v>129460.24968990489</v>
      </c>
      <c r="F22" s="29">
        <f>MAX(0,Pool_Amortization!J22-E22)</f>
        <v>14778822.179993708</v>
      </c>
      <c r="G22" s="29">
        <f>MIN(F22,B21*(Inputs_Assumptions!$B$20/12))</f>
        <v>1066002.0106086878</v>
      </c>
      <c r="H22" s="31">
        <f t="shared" si="4"/>
        <v>13712820.16938502</v>
      </c>
      <c r="I22" s="29">
        <f>MIN(H22,C21*(Inputs_Assumptions!$B$22/12))</f>
        <v>584375</v>
      </c>
      <c r="J22" s="29">
        <f>Pool_Amortization!I22</f>
        <v>10400932.053309582</v>
      </c>
      <c r="K22" s="23">
        <f t="shared" si="5"/>
        <v>10400932.053309582</v>
      </c>
      <c r="L22" s="23">
        <f t="shared" si="6"/>
        <v>0</v>
      </c>
      <c r="M22" s="30">
        <f>MIN(Pool_Amortization!G22,D21)</f>
        <v>1398434.3942526088</v>
      </c>
      <c r="N22" s="30">
        <f>MIN(MAX(0,Pool_Amortization!G22-M22),C21-L22)</f>
        <v>0</v>
      </c>
      <c r="O22" s="30">
        <f>MIN(MAX(0,Pool_Amortization!G22-M22-N22),B21-K22)</f>
        <v>0</v>
      </c>
      <c r="P22" s="31">
        <f t="shared" si="7"/>
        <v>212069052.76937306</v>
      </c>
      <c r="Q22" s="31">
        <f t="shared" si="8"/>
        <v>85000000</v>
      </c>
      <c r="R22" s="31">
        <f t="shared" si="9"/>
        <v>14704064.987255357</v>
      </c>
      <c r="S22" s="31">
        <f t="shared" si="10"/>
        <v>2727513.1160754375</v>
      </c>
      <c r="T22" s="18"/>
      <c r="U22" s="18"/>
      <c r="V22" s="18"/>
      <c r="W22" s="18"/>
      <c r="X22" s="18"/>
      <c r="Y22" s="18"/>
      <c r="Z22" s="18"/>
      <c r="AA22" s="18"/>
    </row>
    <row r="23" spans="1:27" ht="18" customHeight="1">
      <c r="A23" s="39">
        <f t="shared" si="0"/>
        <v>15</v>
      </c>
      <c r="B23" s="23">
        <f t="shared" si="1"/>
        <v>201842464.54992294</v>
      </c>
      <c r="C23" s="23">
        <f t="shared" si="2"/>
        <v>85000000</v>
      </c>
      <c r="D23" s="49">
        <f t="shared" si="3"/>
        <v>13362126.909427367</v>
      </c>
      <c r="E23" s="29">
        <f>Pool_Amortization!B23*(Inputs_Assumptions!$B$10/12)</f>
        <v>124230.09569701779</v>
      </c>
      <c r="F23" s="29">
        <f>MAX(0,Pool_Amortization!J23-E23)</f>
        <v>14427612.940873988</v>
      </c>
      <c r="G23" s="29">
        <f>MIN(F23,B22*(Inputs_Assumptions!$B$20/12))</f>
        <v>1016164.2111865793</v>
      </c>
      <c r="H23" s="31">
        <f t="shared" si="4"/>
        <v>13411448.729687409</v>
      </c>
      <c r="I23" s="29">
        <f>MIN(H23,C22*(Inputs_Assumptions!$B$22/12))</f>
        <v>584375</v>
      </c>
      <c r="J23" s="29">
        <f>Pool_Amortization!I23</f>
        <v>10226588.219450111</v>
      </c>
      <c r="K23" s="23">
        <f t="shared" si="5"/>
        <v>10226588.219450111</v>
      </c>
      <c r="L23" s="23">
        <f t="shared" si="6"/>
        <v>0</v>
      </c>
      <c r="M23" s="30">
        <f>MIN(Pool_Amortization!G23,D22)</f>
        <v>1341938.0778279908</v>
      </c>
      <c r="N23" s="30">
        <f>MIN(MAX(0,Pool_Amortization!G23-M23),C22-L23)</f>
        <v>0</v>
      </c>
      <c r="O23" s="30">
        <f>MIN(MAX(0,Pool_Amortization!G23-M23-N23),B22-K23)</f>
        <v>0</v>
      </c>
      <c r="P23" s="31">
        <f t="shared" si="7"/>
        <v>201842464.54992294</v>
      </c>
      <c r="Q23" s="31">
        <f t="shared" si="8"/>
        <v>85000000</v>
      </c>
      <c r="R23" s="31">
        <f t="shared" si="9"/>
        <v>13362126.909427367</v>
      </c>
      <c r="S23" s="31">
        <f t="shared" si="10"/>
        <v>2600485.5102372989</v>
      </c>
      <c r="T23" s="18"/>
      <c r="U23" s="18"/>
      <c r="V23" s="18"/>
      <c r="W23" s="18"/>
      <c r="X23" s="18"/>
      <c r="Y23" s="18"/>
      <c r="Z23" s="18"/>
      <c r="AA23" s="18"/>
    </row>
    <row r="24" spans="1:27" ht="18" customHeight="1">
      <c r="A24" s="39">
        <f t="shared" si="0"/>
        <v>16</v>
      </c>
      <c r="B24" s="23">
        <f t="shared" si="1"/>
        <v>191787254.70500395</v>
      </c>
      <c r="C24" s="23">
        <f t="shared" si="2"/>
        <v>85000000</v>
      </c>
      <c r="D24" s="49">
        <f t="shared" si="3"/>
        <v>12075509.250692537</v>
      </c>
      <c r="E24" s="29">
        <f>Pool_Amortization!B24*(Inputs_Assumptions!$B$10/12)</f>
        <v>119108.80055569051</v>
      </c>
      <c r="F24" s="29">
        <f>MAX(0,Pool_Amortization!J24-E24)</f>
        <v>14083050.384412475</v>
      </c>
      <c r="G24" s="29">
        <f>MIN(F24,B23*(Inputs_Assumptions!$B$20/12))</f>
        <v>967161.80930171418</v>
      </c>
      <c r="H24" s="31">
        <f t="shared" si="4"/>
        <v>13115888.575110761</v>
      </c>
      <c r="I24" s="29">
        <f>MIN(H24,C23*(Inputs_Assumptions!$B$22/12))</f>
        <v>584375</v>
      </c>
      <c r="J24" s="29">
        <f>Pool_Amortization!I24</f>
        <v>10055209.844919002</v>
      </c>
      <c r="K24" s="23">
        <f t="shared" si="5"/>
        <v>10055209.844919002</v>
      </c>
      <c r="L24" s="23">
        <f t="shared" si="6"/>
        <v>0</v>
      </c>
      <c r="M24" s="30">
        <f>MIN(Pool_Amortization!G24,D23)</f>
        <v>1286617.6587348296</v>
      </c>
      <c r="N24" s="30">
        <f>MIN(MAX(0,Pool_Amortization!G24-M24),C23-L24)</f>
        <v>0</v>
      </c>
      <c r="O24" s="30">
        <f>MIN(MAX(0,Pool_Amortization!G24-M24-N24),B23-K24)</f>
        <v>0</v>
      </c>
      <c r="P24" s="31">
        <f t="shared" si="7"/>
        <v>191787254.70500395</v>
      </c>
      <c r="Q24" s="31">
        <f t="shared" si="8"/>
        <v>85000000</v>
      </c>
      <c r="R24" s="31">
        <f t="shared" si="9"/>
        <v>12075509.250692537</v>
      </c>
      <c r="S24" s="31">
        <f t="shared" si="10"/>
        <v>2476303.7301917598</v>
      </c>
      <c r="T24" s="18"/>
      <c r="U24" s="18"/>
      <c r="V24" s="18"/>
      <c r="W24" s="18"/>
      <c r="X24" s="18"/>
      <c r="Y24" s="18"/>
      <c r="Z24" s="18"/>
      <c r="AA24" s="18"/>
    </row>
    <row r="25" spans="1:27" ht="18" customHeight="1">
      <c r="A25" s="39">
        <f t="shared" si="0"/>
        <v>17</v>
      </c>
      <c r="B25" s="23">
        <f t="shared" si="1"/>
        <v>181900511.73550251</v>
      </c>
      <c r="C25" s="23">
        <f t="shared" si="2"/>
        <v>85000000</v>
      </c>
      <c r="D25" s="49">
        <f t="shared" si="3"/>
        <v>10843057.603166254</v>
      </c>
      <c r="E25" s="29">
        <f>Pool_Amortization!B25*(Inputs_Assumptions!$B$10/12)</f>
        <v>114094.37487752888</v>
      </c>
      <c r="F25" s="29">
        <f>MAX(0,Pool_Amortization!J25-E25)</f>
        <v>13745013.276278703</v>
      </c>
      <c r="G25" s="29">
        <f>MIN(F25,B24*(Inputs_Assumptions!$B$20/12))</f>
        <v>918980.59546147729</v>
      </c>
      <c r="H25" s="31">
        <f t="shared" si="4"/>
        <v>12826032.680817226</v>
      </c>
      <c r="I25" s="29">
        <f>MIN(H25,C24*(Inputs_Assumptions!$B$22/12))</f>
        <v>584375</v>
      </c>
      <c r="J25" s="29">
        <f>Pool_Amortization!I25</f>
        <v>9886742.9695014358</v>
      </c>
      <c r="K25" s="23">
        <f t="shared" si="5"/>
        <v>9886742.9695014358</v>
      </c>
      <c r="L25" s="23">
        <f t="shared" si="6"/>
        <v>0</v>
      </c>
      <c r="M25" s="30">
        <f>MIN(Pool_Amortization!G25,D24)</f>
        <v>1232451.6475262824</v>
      </c>
      <c r="N25" s="30">
        <f>MIN(MAX(0,Pool_Amortization!G25-M25),C24-L25)</f>
        <v>0</v>
      </c>
      <c r="O25" s="30">
        <f>MIN(MAX(0,Pool_Amortization!G25-M25-N25),B24-K25)</f>
        <v>0</v>
      </c>
      <c r="P25" s="31">
        <f t="shared" si="7"/>
        <v>181900511.73550251</v>
      </c>
      <c r="Q25" s="31">
        <f t="shared" si="8"/>
        <v>85000000</v>
      </c>
      <c r="R25" s="31">
        <f t="shared" si="9"/>
        <v>10843057.603166254</v>
      </c>
      <c r="S25" s="31">
        <f t="shared" si="10"/>
        <v>2354914.7113157902</v>
      </c>
      <c r="T25" s="18"/>
      <c r="U25" s="18"/>
      <c r="V25" s="18"/>
      <c r="W25" s="18"/>
      <c r="X25" s="18"/>
      <c r="Y25" s="18"/>
      <c r="Z25" s="18"/>
      <c r="AA25" s="18"/>
    </row>
    <row r="26" spans="1:27" ht="18" customHeight="1">
      <c r="A26" s="39">
        <f t="shared" si="0"/>
        <v>18</v>
      </c>
      <c r="B26" s="23">
        <f t="shared" si="1"/>
        <v>172179377.37905949</v>
      </c>
      <c r="C26" s="23">
        <f t="shared" si="2"/>
        <v>85000000</v>
      </c>
      <c r="D26" s="49">
        <f t="shared" si="3"/>
        <v>9663638.6567428317</v>
      </c>
      <c r="E26" s="29">
        <f>Pool_Amortization!B26*(Inputs_Assumptions!$B$10/12)</f>
        <v>109184.86553284798</v>
      </c>
      <c r="F26" s="29">
        <f>MAX(0,Pool_Amortization!J26-E26)</f>
        <v>13413382.331744606</v>
      </c>
      <c r="G26" s="29">
        <f>MIN(F26,B25*(Inputs_Assumptions!$B$20/12))</f>
        <v>871606.61873261631</v>
      </c>
      <c r="H26" s="31">
        <f t="shared" si="4"/>
        <v>12541775.713011989</v>
      </c>
      <c r="I26" s="29">
        <f>MIN(H26,C25*(Inputs_Assumptions!$B$22/12))</f>
        <v>584375</v>
      </c>
      <c r="J26" s="29">
        <f>Pool_Amortization!I26</f>
        <v>9721134.3564430177</v>
      </c>
      <c r="K26" s="23">
        <f t="shared" si="5"/>
        <v>9721134.3564430177</v>
      </c>
      <c r="L26" s="23">
        <f t="shared" si="6"/>
        <v>0</v>
      </c>
      <c r="M26" s="30">
        <f>MIN(Pool_Amortization!G26,D25)</f>
        <v>1179418.9464234223</v>
      </c>
      <c r="N26" s="30">
        <f>MIN(MAX(0,Pool_Amortization!G26-M26),C25-L26)</f>
        <v>0</v>
      </c>
      <c r="O26" s="30">
        <f>MIN(MAX(0,Pool_Amortization!G26-M26-N26),B25-K26)</f>
        <v>0</v>
      </c>
      <c r="P26" s="31">
        <f t="shared" si="7"/>
        <v>172179377.37905949</v>
      </c>
      <c r="Q26" s="31">
        <f t="shared" si="8"/>
        <v>85000000</v>
      </c>
      <c r="R26" s="31">
        <f t="shared" si="9"/>
        <v>9663638.6567428317</v>
      </c>
      <c r="S26" s="31">
        <f t="shared" si="10"/>
        <v>2236266.3565689716</v>
      </c>
      <c r="T26" s="18"/>
      <c r="U26" s="18"/>
      <c r="V26" s="18"/>
      <c r="W26" s="18"/>
      <c r="X26" s="18"/>
      <c r="Y26" s="18"/>
      <c r="Z26" s="18"/>
      <c r="AA26" s="18"/>
    </row>
    <row r="27" spans="1:27" ht="18" customHeight="1">
      <c r="A27" s="39">
        <f t="shared" si="0"/>
        <v>19</v>
      </c>
      <c r="B27" s="23">
        <f t="shared" si="1"/>
        <v>162621045.92850971</v>
      </c>
      <c r="C27" s="23">
        <f t="shared" si="2"/>
        <v>85000000</v>
      </c>
      <c r="D27" s="49">
        <f t="shared" si="3"/>
        <v>8536139.8133958373</v>
      </c>
      <c r="E27" s="29">
        <f>Pool_Amortization!B27*(Inputs_Assumptions!$B$10/12)</f>
        <v>104378.35509816118</v>
      </c>
      <c r="F27" s="29">
        <f>MAX(0,Pool_Amortization!J27-E27)</f>
        <v>13088040.155100524</v>
      </c>
      <c r="G27" s="29">
        <f>MIN(F27,B26*(Inputs_Assumptions!$B$20/12))</f>
        <v>825026.18327466014</v>
      </c>
      <c r="H27" s="31">
        <f t="shared" si="4"/>
        <v>12263013.971825864</v>
      </c>
      <c r="I27" s="29">
        <f>MIN(H27,C26*(Inputs_Assumptions!$B$22/12))</f>
        <v>584375</v>
      </c>
      <c r="J27" s="29">
        <f>Pool_Amortization!I27</f>
        <v>9558331.450549785</v>
      </c>
      <c r="K27" s="23">
        <f t="shared" si="5"/>
        <v>9558331.450549785</v>
      </c>
      <c r="L27" s="23">
        <f t="shared" si="6"/>
        <v>0</v>
      </c>
      <c r="M27" s="30">
        <f>MIN(Pool_Amortization!G27,D26)</f>
        <v>1127498.8433469937</v>
      </c>
      <c r="N27" s="30">
        <f>MIN(MAX(0,Pool_Amortization!G27-M27),C26-L27)</f>
        <v>0</v>
      </c>
      <c r="O27" s="30">
        <f>MIN(MAX(0,Pool_Amortization!G27-M27-N27),B26-K27)</f>
        <v>0</v>
      </c>
      <c r="P27" s="31">
        <f t="shared" si="7"/>
        <v>162621045.92850971</v>
      </c>
      <c r="Q27" s="31">
        <f t="shared" si="8"/>
        <v>85000000</v>
      </c>
      <c r="R27" s="31">
        <f t="shared" si="9"/>
        <v>8536139.8133958373</v>
      </c>
      <c r="S27" s="31">
        <f t="shared" si="10"/>
        <v>2120307.5212760791</v>
      </c>
      <c r="T27" s="18"/>
      <c r="U27" s="18"/>
      <c r="V27" s="18"/>
      <c r="W27" s="18"/>
      <c r="X27" s="18"/>
      <c r="Y27" s="18"/>
      <c r="Z27" s="18"/>
      <c r="AA27" s="18"/>
    </row>
    <row r="28" spans="1:27" ht="18" customHeight="1">
      <c r="A28" s="39">
        <f t="shared" si="0"/>
        <v>20</v>
      </c>
      <c r="B28" s="23">
        <f t="shared" si="1"/>
        <v>153222763.59651095</v>
      </c>
      <c r="C28" s="23">
        <f t="shared" si="2"/>
        <v>85000000</v>
      </c>
      <c r="D28" s="49">
        <f t="shared" si="3"/>
        <v>7459468.8072167579</v>
      </c>
      <c r="E28" s="29">
        <f>Pool_Amortization!B28*(Inputs_Assumptions!$B$10/12)</f>
        <v>99672.961324953256</v>
      </c>
      <c r="F28" s="29">
        <f>MAX(0,Pool_Amortization!J28-E28)</f>
        <v>12768871.175501563</v>
      </c>
      <c r="G28" s="29">
        <f>MIN(F28,B27*(Inputs_Assumptions!$B$20/12))</f>
        <v>779225.84507410915</v>
      </c>
      <c r="H28" s="31">
        <f t="shared" si="4"/>
        <v>11989645.330427453</v>
      </c>
      <c r="I28" s="29">
        <f>MIN(H28,C27*(Inputs_Assumptions!$B$22/12))</f>
        <v>584375</v>
      </c>
      <c r="J28" s="29">
        <f>Pool_Amortization!I28</f>
        <v>9398282.3319987524</v>
      </c>
      <c r="K28" s="23">
        <f t="shared" si="5"/>
        <v>9398282.3319987524</v>
      </c>
      <c r="L28" s="23">
        <f t="shared" si="6"/>
        <v>0</v>
      </c>
      <c r="M28" s="30">
        <f>MIN(Pool_Amortization!G28,D27)</f>
        <v>1076671.0061790792</v>
      </c>
      <c r="N28" s="30">
        <f>MIN(MAX(0,Pool_Amortization!G28-M28),C27-L28)</f>
        <v>0</v>
      </c>
      <c r="O28" s="30">
        <f>MIN(MAX(0,Pool_Amortization!G28-M28-N28),B27-K28)</f>
        <v>0</v>
      </c>
      <c r="P28" s="31">
        <f t="shared" si="7"/>
        <v>153222763.59651095</v>
      </c>
      <c r="Q28" s="31">
        <f t="shared" si="8"/>
        <v>85000000</v>
      </c>
      <c r="R28" s="31">
        <f t="shared" si="9"/>
        <v>7459468.8072167579</v>
      </c>
      <c r="S28" s="31">
        <f t="shared" si="10"/>
        <v>2006987.9984287005</v>
      </c>
      <c r="T28" s="18"/>
      <c r="U28" s="18"/>
      <c r="V28" s="18"/>
      <c r="W28" s="18"/>
      <c r="X28" s="18"/>
      <c r="Y28" s="18"/>
      <c r="Z28" s="18"/>
      <c r="AA28" s="18"/>
    </row>
    <row r="29" spans="1:27" ht="18" customHeight="1">
      <c r="A29" s="39">
        <f t="shared" si="0"/>
        <v>21</v>
      </c>
      <c r="B29" s="23">
        <f t="shared" si="1"/>
        <v>143981827.93165049</v>
      </c>
      <c r="C29" s="23">
        <f t="shared" si="2"/>
        <v>85000000</v>
      </c>
      <c r="D29" s="49">
        <f t="shared" si="3"/>
        <v>6432553.3299443638</v>
      </c>
      <c r="E29" s="29">
        <f>Pool_Amortization!B29*(Inputs_Assumptions!$B$10/12)</f>
        <v>95066.836631377431</v>
      </c>
      <c r="F29" s="29">
        <f>MAX(0,Pool_Amortization!J29-E29)</f>
        <v>12455761.578301096</v>
      </c>
      <c r="G29" s="29">
        <f>MIN(F29,B28*(Inputs_Assumptions!$B$20/12))</f>
        <v>734192.40889994835</v>
      </c>
      <c r="H29" s="31">
        <f t="shared" si="4"/>
        <v>11721569.169401148</v>
      </c>
      <c r="I29" s="29">
        <f>MIN(H29,C28*(Inputs_Assumptions!$B$22/12))</f>
        <v>584375</v>
      </c>
      <c r="J29" s="29">
        <f>Pool_Amortization!I29</f>
        <v>9240935.6648604702</v>
      </c>
      <c r="K29" s="23">
        <f t="shared" si="5"/>
        <v>9240935.6648604702</v>
      </c>
      <c r="L29" s="23">
        <f t="shared" si="6"/>
        <v>0</v>
      </c>
      <c r="M29" s="30">
        <f>MIN(Pool_Amortization!G29,D28)</f>
        <v>1026915.4772723945</v>
      </c>
      <c r="N29" s="30">
        <f>MIN(MAX(0,Pool_Amortization!G29-M29),C28-L29)</f>
        <v>0</v>
      </c>
      <c r="O29" s="30">
        <f>MIN(MAX(0,Pool_Amortization!G29-M29-N29),B28-K29)</f>
        <v>0</v>
      </c>
      <c r="P29" s="31">
        <f t="shared" si="7"/>
        <v>143981827.93165049</v>
      </c>
      <c r="Q29" s="31">
        <f t="shared" si="8"/>
        <v>85000000</v>
      </c>
      <c r="R29" s="31">
        <f t="shared" si="9"/>
        <v>6432553.3299443638</v>
      </c>
      <c r="S29" s="31">
        <f t="shared" si="10"/>
        <v>1896258.5045406781</v>
      </c>
      <c r="T29" s="18"/>
      <c r="U29" s="18"/>
      <c r="V29" s="18"/>
      <c r="W29" s="18"/>
      <c r="X29" s="18"/>
      <c r="Y29" s="18"/>
      <c r="Z29" s="18"/>
      <c r="AA29" s="18"/>
    </row>
    <row r="30" spans="1:27" ht="18" customHeight="1">
      <c r="A30" s="39">
        <f t="shared" si="0"/>
        <v>22</v>
      </c>
      <c r="B30" s="23">
        <f t="shared" si="1"/>
        <v>134895587.29257599</v>
      </c>
      <c r="C30" s="23">
        <f t="shared" si="2"/>
        <v>85000000</v>
      </c>
      <c r="D30" s="49">
        <f t="shared" si="3"/>
        <v>5454340.6617150716</v>
      </c>
      <c r="E30" s="29">
        <f>Pool_Amortization!B30*(Inputs_Assumptions!$B$10/12)</f>
        <v>90558.167618921201</v>
      </c>
      <c r="F30" s="29">
        <f>MAX(0,Pool_Amortization!J30-E30)</f>
        <v>12148599.230681617</v>
      </c>
      <c r="G30" s="29">
        <f>MIN(F30,B29*(Inputs_Assumptions!$B$20/12))</f>
        <v>689912.92550582532</v>
      </c>
      <c r="H30" s="31">
        <f t="shared" si="4"/>
        <v>11458686.305175792</v>
      </c>
      <c r="I30" s="29">
        <f>MIN(H30,C29*(Inputs_Assumptions!$B$22/12))</f>
        <v>584375</v>
      </c>
      <c r="J30" s="29">
        <f>Pool_Amortization!I30</f>
        <v>9086240.6390745118</v>
      </c>
      <c r="K30" s="23">
        <f t="shared" si="5"/>
        <v>9086240.6390745118</v>
      </c>
      <c r="L30" s="23">
        <f t="shared" si="6"/>
        <v>0</v>
      </c>
      <c r="M30" s="30">
        <f>MIN(Pool_Amortization!G30,D29)</f>
        <v>978212.66822929261</v>
      </c>
      <c r="N30" s="30">
        <f>MIN(MAX(0,Pool_Amortization!G30-M30),C29-L30)</f>
        <v>0</v>
      </c>
      <c r="O30" s="30">
        <f>MIN(MAX(0,Pool_Amortization!G30-M30-N30),B29-K30)</f>
        <v>0</v>
      </c>
      <c r="P30" s="31">
        <f t="shared" si="7"/>
        <v>134895587.29257599</v>
      </c>
      <c r="Q30" s="31">
        <f t="shared" si="8"/>
        <v>85000000</v>
      </c>
      <c r="R30" s="31">
        <f t="shared" si="9"/>
        <v>5454340.6617150716</v>
      </c>
      <c r="S30" s="31">
        <f t="shared" si="10"/>
        <v>1788070.6661012806</v>
      </c>
      <c r="T30" s="18"/>
      <c r="U30" s="18"/>
      <c r="V30" s="18"/>
      <c r="W30" s="18"/>
      <c r="X30" s="18"/>
      <c r="Y30" s="18"/>
      <c r="Z30" s="18"/>
      <c r="AA30" s="18"/>
    </row>
    <row r="31" spans="1:27" ht="18" customHeight="1">
      <c r="A31" s="39">
        <f t="shared" si="0"/>
        <v>23</v>
      </c>
      <c r="B31" s="23">
        <f t="shared" si="1"/>
        <v>125961440.38829809</v>
      </c>
      <c r="C31" s="23">
        <f t="shared" si="2"/>
        <v>85000000</v>
      </c>
      <c r="D31" s="49">
        <f t="shared" si="3"/>
        <v>4523797.3067369899</v>
      </c>
      <c r="E31" s="29">
        <f>Pool_Amortization!B31*(Inputs_Assumptions!$B$10/12)</f>
        <v>86145.174616595745</v>
      </c>
      <c r="F31" s="29">
        <f>MAX(0,Pool_Amortization!J31-E31)</f>
        <v>11847273.60006924</v>
      </c>
      <c r="G31" s="29">
        <f>MIN(F31,B30*(Inputs_Assumptions!$B$20/12))</f>
        <v>646374.68911025999</v>
      </c>
      <c r="H31" s="31">
        <f t="shared" si="4"/>
        <v>11200898.910958979</v>
      </c>
      <c r="I31" s="29">
        <f>MIN(H31,C30*(Inputs_Assumptions!$B$22/12))</f>
        <v>584375</v>
      </c>
      <c r="J31" s="29">
        <f>Pool_Amortization!I31</f>
        <v>8934146.9042778984</v>
      </c>
      <c r="K31" s="23">
        <f t="shared" si="5"/>
        <v>8934146.9042778984</v>
      </c>
      <c r="L31" s="23">
        <f t="shared" si="6"/>
        <v>0</v>
      </c>
      <c r="M31" s="30">
        <f>MIN(Pool_Amortization!G31,D30)</f>
        <v>930543.354978082</v>
      </c>
      <c r="N31" s="30">
        <f>MIN(MAX(0,Pool_Amortization!G31-M31),C30-L31)</f>
        <v>0</v>
      </c>
      <c r="O31" s="30">
        <f>MIN(MAX(0,Pool_Amortization!G31-M31-N31),B30-K31)</f>
        <v>0</v>
      </c>
      <c r="P31" s="31">
        <f t="shared" si="7"/>
        <v>125961440.38829809</v>
      </c>
      <c r="Q31" s="31">
        <f t="shared" si="8"/>
        <v>85000000</v>
      </c>
      <c r="R31" s="31">
        <f t="shared" si="9"/>
        <v>4523797.3067369899</v>
      </c>
      <c r="S31" s="31">
        <f t="shared" si="10"/>
        <v>1682377.0066810809</v>
      </c>
      <c r="T31" s="18"/>
      <c r="U31" s="18"/>
      <c r="V31" s="18"/>
      <c r="W31" s="18"/>
      <c r="X31" s="18"/>
      <c r="Y31" s="18"/>
      <c r="Z31" s="18"/>
      <c r="AA31" s="18"/>
    </row>
    <row r="32" spans="1:27" ht="18" customHeight="1">
      <c r="A32" s="39">
        <f t="shared" si="0"/>
        <v>24</v>
      </c>
      <c r="B32" s="23">
        <f t="shared" si="1"/>
        <v>117176835.89486295</v>
      </c>
      <c r="C32" s="23">
        <f t="shared" si="2"/>
        <v>85000000</v>
      </c>
      <c r="D32" s="49">
        <f t="shared" si="3"/>
        <v>3639908.6335557248</v>
      </c>
      <c r="E32" s="29">
        <f>Pool_Amortization!B32*(Inputs_Assumptions!$B$10/12)</f>
        <v>81826.111255852971</v>
      </c>
      <c r="F32" s="29">
        <f>MAX(0,Pool_Amortization!J32-E32)</f>
        <v>11551675.663388934</v>
      </c>
      <c r="G32" s="29">
        <f>MIN(F32,B31*(Inputs_Assumptions!$B$20/12))</f>
        <v>603565.23519392847</v>
      </c>
      <c r="H32" s="31">
        <f t="shared" si="4"/>
        <v>10948110.428195005</v>
      </c>
      <c r="I32" s="29">
        <f>MIN(H32,C31*(Inputs_Assumptions!$B$22/12))</f>
        <v>584375</v>
      </c>
      <c r="J32" s="29">
        <f>Pool_Amortization!I32</f>
        <v>8784604.4934351388</v>
      </c>
      <c r="K32" s="23">
        <f t="shared" si="5"/>
        <v>8784604.4934351388</v>
      </c>
      <c r="L32" s="23">
        <f t="shared" si="6"/>
        <v>0</v>
      </c>
      <c r="M32" s="30">
        <f>MIN(Pool_Amortization!G32,D31)</f>
        <v>883888.67318126524</v>
      </c>
      <c r="N32" s="30">
        <f>MIN(MAX(0,Pool_Amortization!G32-M32),C31-L32)</f>
        <v>0</v>
      </c>
      <c r="O32" s="30">
        <f>MIN(MAX(0,Pool_Amortization!G32-M32-N32),B31-K32)</f>
        <v>0</v>
      </c>
      <c r="P32" s="31">
        <f t="shared" si="7"/>
        <v>117176835.89486295</v>
      </c>
      <c r="Q32" s="31">
        <f t="shared" si="8"/>
        <v>85000000</v>
      </c>
      <c r="R32" s="31">
        <f t="shared" si="9"/>
        <v>3639908.6335557248</v>
      </c>
      <c r="S32" s="31">
        <f t="shared" si="10"/>
        <v>1579130.9347598664</v>
      </c>
      <c r="T32" s="18"/>
      <c r="U32" s="18"/>
      <c r="V32" s="18"/>
      <c r="W32" s="18"/>
      <c r="X32" s="18"/>
      <c r="Y32" s="18"/>
      <c r="Z32" s="18"/>
      <c r="AA32" s="18"/>
    </row>
    <row r="33" spans="1:27" ht="18" customHeight="1">
      <c r="A33" s="39">
        <f t="shared" si="0"/>
        <v>25</v>
      </c>
      <c r="B33" s="23">
        <f t="shared" si="1"/>
        <v>108539272.1612471</v>
      </c>
      <c r="C33" s="23">
        <f t="shared" si="2"/>
        <v>85000000</v>
      </c>
      <c r="D33" s="49">
        <f t="shared" si="3"/>
        <v>2801678.5195364216</v>
      </c>
      <c r="E33" s="29">
        <f>Pool_Amortization!B33*(Inputs_Assumptions!$B$10/12)</f>
        <v>77599.264080267007</v>
      </c>
      <c r="F33" s="29">
        <f>MAX(0,Pool_Amortization!J33-E33)</f>
        <v>11261697.804642947</v>
      </c>
      <c r="G33" s="29">
        <f>MIN(F33,B32*(Inputs_Assumptions!$B$20/12))</f>
        <v>561472.33866288501</v>
      </c>
      <c r="H33" s="31">
        <f t="shared" si="4"/>
        <v>10700225.465980062</v>
      </c>
      <c r="I33" s="29">
        <f>MIN(H33,C32*(Inputs_Assumptions!$B$22/12))</f>
        <v>584375</v>
      </c>
      <c r="J33" s="29">
        <f>Pool_Amortization!I33</f>
        <v>8637563.7336158492</v>
      </c>
      <c r="K33" s="23">
        <f t="shared" si="5"/>
        <v>8637563.7336158492</v>
      </c>
      <c r="L33" s="23">
        <f t="shared" si="6"/>
        <v>0</v>
      </c>
      <c r="M33" s="30">
        <f>MIN(Pool_Amortization!G33,D32)</f>
        <v>838230.11401930312</v>
      </c>
      <c r="N33" s="30">
        <f>MIN(MAX(0,Pool_Amortization!G33-M33),C32-L33)</f>
        <v>0</v>
      </c>
      <c r="O33" s="30">
        <f>MIN(MAX(0,Pool_Amortization!G33-M33-N33),B32-K33)</f>
        <v>0</v>
      </c>
      <c r="P33" s="31">
        <f t="shared" si="7"/>
        <v>108539272.1612471</v>
      </c>
      <c r="Q33" s="31">
        <f t="shared" si="8"/>
        <v>85000000</v>
      </c>
      <c r="R33" s="31">
        <f t="shared" si="9"/>
        <v>2801678.5195364216</v>
      </c>
      <c r="S33" s="31">
        <f t="shared" si="10"/>
        <v>1478286.7323642131</v>
      </c>
      <c r="T33" s="18"/>
      <c r="U33" s="18"/>
      <c r="V33" s="18"/>
      <c r="W33" s="18"/>
      <c r="X33" s="18"/>
      <c r="Y33" s="18"/>
      <c r="Z33" s="18"/>
      <c r="AA33" s="18"/>
    </row>
    <row r="34" spans="1:27" ht="18" customHeight="1">
      <c r="A34" s="39">
        <f t="shared" si="0"/>
        <v>26</v>
      </c>
      <c r="B34" s="23">
        <f t="shared" si="1"/>
        <v>100046297.02079527</v>
      </c>
      <c r="C34" s="23">
        <f t="shared" si="2"/>
        <v>85000000</v>
      </c>
      <c r="D34" s="49">
        <f t="shared" si="3"/>
        <v>2008128.9991312723</v>
      </c>
      <c r="E34" s="29">
        <f>Pool_Amortization!B34*(Inputs_Assumptions!$B$10/12)</f>
        <v>73462.952195094185</v>
      </c>
      <c r="F34" s="29">
        <f>MAX(0,Pool_Amortization!J34-E34)</f>
        <v>10977233.697517242</v>
      </c>
      <c r="G34" s="29">
        <f>MIN(F34,B33*(Inputs_Assumptions!$B$20/12))</f>
        <v>520084.0124393091</v>
      </c>
      <c r="H34" s="31">
        <f t="shared" si="4"/>
        <v>10457149.685077934</v>
      </c>
      <c r="I34" s="29">
        <f>MIN(H34,C33*(Inputs_Assumptions!$B$22/12))</f>
        <v>584375</v>
      </c>
      <c r="J34" s="29">
        <f>Pool_Amortization!I34</f>
        <v>8492975.1404518336</v>
      </c>
      <c r="K34" s="23">
        <f t="shared" si="5"/>
        <v>8492975.1404518336</v>
      </c>
      <c r="L34" s="23">
        <f t="shared" si="6"/>
        <v>0</v>
      </c>
      <c r="M34" s="30">
        <f>MIN(Pool_Amortization!G34,D33)</f>
        <v>793549.52040514932</v>
      </c>
      <c r="N34" s="30">
        <f>MIN(MAX(0,Pool_Amortization!G34-M34),C33-L34)</f>
        <v>0</v>
      </c>
      <c r="O34" s="30">
        <f>MIN(MAX(0,Pool_Amortization!G34-M34-N34),B33-K34)</f>
        <v>0</v>
      </c>
      <c r="P34" s="31">
        <f t="shared" si="7"/>
        <v>100046297.02079527</v>
      </c>
      <c r="Q34" s="31">
        <f t="shared" si="8"/>
        <v>85000000</v>
      </c>
      <c r="R34" s="31">
        <f t="shared" si="9"/>
        <v>2008128.9991312723</v>
      </c>
      <c r="S34" s="31">
        <f t="shared" si="10"/>
        <v>1379799.5446261</v>
      </c>
      <c r="T34" s="18"/>
      <c r="U34" s="18"/>
      <c r="V34" s="18"/>
      <c r="W34" s="18"/>
      <c r="X34" s="18"/>
      <c r="Y34" s="18"/>
      <c r="Z34" s="18"/>
      <c r="AA34" s="18"/>
    </row>
    <row r="35" spans="1:27" ht="18" customHeight="1">
      <c r="A35" s="39">
        <f t="shared" si="0"/>
        <v>27</v>
      </c>
      <c r="B35" s="23">
        <f t="shared" si="1"/>
        <v>91695507.729101911</v>
      </c>
      <c r="C35" s="23">
        <f t="shared" si="2"/>
        <v>85000000</v>
      </c>
      <c r="D35" s="49">
        <f t="shared" si="3"/>
        <v>1258299.915431242</v>
      </c>
      <c r="E35" s="29">
        <f>Pool_Amortization!B35*(Inputs_Assumptions!$B$10/12)</f>
        <v>69415.526963235941</v>
      </c>
      <c r="F35" s="29">
        <f>MAX(0,Pool_Amortization!J35-E35)</f>
        <v>10698178.168656293</v>
      </c>
      <c r="G35" s="29">
        <f>MIN(F35,B34*(Inputs_Assumptions!$B$20/12))</f>
        <v>479388.50655797741</v>
      </c>
      <c r="H35" s="31">
        <f t="shared" si="4"/>
        <v>10218789.662098316</v>
      </c>
      <c r="I35" s="29">
        <f>MIN(H35,C34*(Inputs_Assumptions!$B$22/12))</f>
        <v>584375</v>
      </c>
      <c r="J35" s="29">
        <f>Pool_Amortization!I35</f>
        <v>8350789.2916933643</v>
      </c>
      <c r="K35" s="23">
        <f t="shared" si="5"/>
        <v>8350789.2916933643</v>
      </c>
      <c r="L35" s="23">
        <f t="shared" si="6"/>
        <v>0</v>
      </c>
      <c r="M35" s="30">
        <f>MIN(Pool_Amortization!G35,D34)</f>
        <v>749829.08370003023</v>
      </c>
      <c r="N35" s="30">
        <f>MIN(MAX(0,Pool_Amortization!G35-M35),C34-L35)</f>
        <v>0</v>
      </c>
      <c r="O35" s="30">
        <f>MIN(MAX(0,Pool_Amortization!G35-M35-N35),B34-K35)</f>
        <v>0</v>
      </c>
      <c r="P35" s="31">
        <f t="shared" si="7"/>
        <v>91695507.729101911</v>
      </c>
      <c r="Q35" s="31">
        <f t="shared" si="8"/>
        <v>85000000</v>
      </c>
      <c r="R35" s="31">
        <f t="shared" si="9"/>
        <v>1258299.915431242</v>
      </c>
      <c r="S35" s="31">
        <f t="shared" si="10"/>
        <v>1283625.3704049522</v>
      </c>
      <c r="T35" s="18"/>
      <c r="U35" s="18"/>
      <c r="V35" s="18"/>
      <c r="W35" s="18"/>
      <c r="X35" s="18"/>
      <c r="Y35" s="18"/>
      <c r="Z35" s="18"/>
      <c r="AA35" s="18"/>
    </row>
    <row r="36" spans="1:27" ht="18" customHeight="1">
      <c r="A36" s="39">
        <f t="shared" si="0"/>
        <v>28</v>
      </c>
      <c r="B36" s="23">
        <f t="shared" si="1"/>
        <v>83484551.055356443</v>
      </c>
      <c r="C36" s="23">
        <f t="shared" si="2"/>
        <v>85000000</v>
      </c>
      <c r="D36" s="49">
        <f t="shared" si="3"/>
        <v>551248.5744101716</v>
      </c>
      <c r="E36" s="29">
        <f>Pool_Amortization!B36*(Inputs_Assumptions!$B$10/12)</f>
        <v>65455.371755991895</v>
      </c>
      <c r="F36" s="29">
        <f>MAX(0,Pool_Amortization!J36-E36)</f>
        <v>10424427.035770742</v>
      </c>
      <c r="G36" s="29">
        <f>MIN(F36,B35*(Inputs_Assumptions!$B$20/12))</f>
        <v>439374.3078686134</v>
      </c>
      <c r="H36" s="31">
        <f t="shared" si="4"/>
        <v>9985052.7279021293</v>
      </c>
      <c r="I36" s="29">
        <f>MIN(H36,C35*(Inputs_Assumptions!$B$22/12))</f>
        <v>584375</v>
      </c>
      <c r="J36" s="29">
        <f>Pool_Amortization!I36</f>
        <v>8210956.6737454683</v>
      </c>
      <c r="K36" s="23">
        <f t="shared" si="5"/>
        <v>8210956.6737454683</v>
      </c>
      <c r="L36" s="23">
        <f t="shared" si="6"/>
        <v>0</v>
      </c>
      <c r="M36" s="30">
        <f>MIN(Pool_Amortization!G36,D35)</f>
        <v>707051.34102107037</v>
      </c>
      <c r="N36" s="30">
        <f>MIN(MAX(0,Pool_Amortization!G36-M36),C35-L36)</f>
        <v>0</v>
      </c>
      <c r="O36" s="30">
        <f>MIN(MAX(0,Pool_Amortization!G36-M36-N36),B35-K36)</f>
        <v>0</v>
      </c>
      <c r="P36" s="31">
        <f t="shared" si="7"/>
        <v>83484551.055356443</v>
      </c>
      <c r="Q36" s="31">
        <f t="shared" si="8"/>
        <v>85000000</v>
      </c>
      <c r="R36" s="31">
        <f t="shared" si="9"/>
        <v>551248.5744101716</v>
      </c>
      <c r="S36" s="31">
        <f t="shared" si="10"/>
        <v>1189721.054156661</v>
      </c>
      <c r="T36" s="18"/>
      <c r="U36" s="18"/>
      <c r="V36" s="18"/>
      <c r="W36" s="18"/>
      <c r="X36" s="18"/>
      <c r="Y36" s="18"/>
      <c r="Z36" s="18"/>
      <c r="AA36" s="18"/>
    </row>
    <row r="37" spans="1:27" ht="18" customHeight="1">
      <c r="A37" s="39">
        <f t="shared" si="0"/>
        <v>29</v>
      </c>
      <c r="B37" s="23">
        <f t="shared" si="1"/>
        <v>75411123.562450066</v>
      </c>
      <c r="C37" s="23">
        <f t="shared" si="2"/>
        <v>84886049.401151896</v>
      </c>
      <c r="D37" s="49">
        <f t="shared" si="3"/>
        <v>0</v>
      </c>
      <c r="E37" s="29">
        <f>Pool_Amortization!B37*(Inputs_Assumptions!$B$10/12)</f>
        <v>61580.901769481876</v>
      </c>
      <c r="F37" s="29">
        <f>MAX(0,Pool_Amortization!J37-E37)</f>
        <v>10155876.912667867</v>
      </c>
      <c r="G37" s="29">
        <f>MIN(F37,B36*(Inputs_Assumptions!$B$20/12))</f>
        <v>400030.14047358301</v>
      </c>
      <c r="H37" s="31">
        <f t="shared" si="4"/>
        <v>9755846.7721942831</v>
      </c>
      <c r="I37" s="29">
        <f>MIN(H37,C36*(Inputs_Assumptions!$B$22/12))</f>
        <v>584375</v>
      </c>
      <c r="J37" s="29">
        <f>Pool_Amortization!I37</f>
        <v>8073427.4929063777</v>
      </c>
      <c r="K37" s="23">
        <f t="shared" si="5"/>
        <v>8073427.4929063777</v>
      </c>
      <c r="L37" s="23">
        <f t="shared" si="6"/>
        <v>0</v>
      </c>
      <c r="M37" s="30">
        <f>MIN(Pool_Amortization!G37,D36)</f>
        <v>551248.5744101716</v>
      </c>
      <c r="N37" s="30">
        <f>MIN(MAX(0,Pool_Amortization!G37-M37),C36-L37)</f>
        <v>113950.59884810506</v>
      </c>
      <c r="O37" s="30">
        <f>MIN(MAX(0,Pool_Amortization!G37-M37-N37),B36-K37)</f>
        <v>0</v>
      </c>
      <c r="P37" s="31">
        <f t="shared" si="7"/>
        <v>75411123.562450066</v>
      </c>
      <c r="Q37" s="31">
        <f t="shared" si="8"/>
        <v>84886049.401151896</v>
      </c>
      <c r="R37" s="31">
        <f t="shared" si="9"/>
        <v>0</v>
      </c>
      <c r="S37" s="31">
        <f t="shared" si="10"/>
        <v>1098044.2792879054</v>
      </c>
      <c r="T37" s="18"/>
      <c r="U37" s="18"/>
      <c r="V37" s="18"/>
      <c r="W37" s="18"/>
      <c r="X37" s="18"/>
      <c r="Y37" s="18"/>
      <c r="Z37" s="18"/>
      <c r="AA37" s="18"/>
    </row>
    <row r="38" spans="1:27" ht="18" customHeight="1">
      <c r="A38" s="39">
        <f t="shared" si="0"/>
        <v>30</v>
      </c>
      <c r="B38" s="23">
        <f t="shared" si="1"/>
        <v>67472972.122493148</v>
      </c>
      <c r="C38" s="23">
        <f t="shared" si="2"/>
        <v>84261793.597197056</v>
      </c>
      <c r="D38" s="49">
        <f t="shared" si="3"/>
        <v>0</v>
      </c>
      <c r="E38" s="29">
        <f>Pool_Amortization!B38*(Inputs_Assumptions!$B$10/12)</f>
        <v>57790.563920989931</v>
      </c>
      <c r="F38" s="29">
        <f>MAX(0,Pool_Amortization!J38-E38)</f>
        <v>9892424.9703357052</v>
      </c>
      <c r="G38" s="29">
        <f>MIN(F38,B37*(Inputs_Assumptions!$B$20/12))</f>
        <v>361344.9670700733</v>
      </c>
      <c r="H38" s="31">
        <f t="shared" si="4"/>
        <v>9531080.0032656323</v>
      </c>
      <c r="I38" s="29">
        <f>MIN(H38,C37*(Inputs_Assumptions!$B$22/12))</f>
        <v>583591.58963291929</v>
      </c>
      <c r="J38" s="29">
        <f>Pool_Amortization!I38</f>
        <v>7938151.4399569184</v>
      </c>
      <c r="K38" s="23">
        <f t="shared" si="5"/>
        <v>7938151.4399569184</v>
      </c>
      <c r="L38" s="23">
        <f t="shared" si="6"/>
        <v>0</v>
      </c>
      <c r="M38" s="30">
        <f>MIN(Pool_Amortization!G38,D37)</f>
        <v>0</v>
      </c>
      <c r="N38" s="30">
        <f>MIN(MAX(0,Pool_Amortization!G38-M38),C37-L38)</f>
        <v>624255.80395484262</v>
      </c>
      <c r="O38" s="30">
        <f>MIN(MAX(0,Pool_Amortization!G38-M38-N38),B37-K38)</f>
        <v>0</v>
      </c>
      <c r="P38" s="31">
        <f t="shared" si="7"/>
        <v>67472972.122493148</v>
      </c>
      <c r="Q38" s="31">
        <f t="shared" si="8"/>
        <v>84261793.597197056</v>
      </c>
      <c r="R38" s="31">
        <f t="shared" si="9"/>
        <v>0</v>
      </c>
      <c r="S38" s="31">
        <f t="shared" si="10"/>
        <v>1009336.9736757949</v>
      </c>
      <c r="T38" s="18"/>
      <c r="U38" s="18"/>
      <c r="V38" s="18"/>
      <c r="W38" s="18"/>
      <c r="X38" s="18"/>
      <c r="Y38" s="18"/>
      <c r="Z38" s="18"/>
      <c r="AA38" s="18"/>
    </row>
    <row r="39" spans="1:27" ht="18" customHeight="1">
      <c r="A39" s="39">
        <f t="shared" si="0"/>
        <v>31</v>
      </c>
      <c r="B39" s="23">
        <f t="shared" si="1"/>
        <v>59667894.730191574</v>
      </c>
      <c r="C39" s="23">
        <f t="shared" si="2"/>
        <v>83677588.797942311</v>
      </c>
      <c r="D39" s="49">
        <f t="shared" si="3"/>
        <v>0</v>
      </c>
      <c r="E39" s="29">
        <f>Pool_Amortization!B39*(Inputs_Assumptions!$B$10/12)</f>
        <v>54082.83684411375</v>
      </c>
      <c r="F39" s="29">
        <f>MAX(0,Pool_Amortization!J39-E39)</f>
        <v>9633968.6389200836</v>
      </c>
      <c r="G39" s="29">
        <f>MIN(F39,B38*(Inputs_Assumptions!$B$20/12))</f>
        <v>323307.99142027972</v>
      </c>
      <c r="H39" s="31">
        <f t="shared" si="4"/>
        <v>9310660.6474998035</v>
      </c>
      <c r="I39" s="29">
        <f>MIN(H39,C38*(Inputs_Assumptions!$B$22/12))</f>
        <v>579299.83098072978</v>
      </c>
      <c r="J39" s="29">
        <f>Pool_Amortization!I39</f>
        <v>7805077.3923015716</v>
      </c>
      <c r="K39" s="23">
        <f t="shared" si="5"/>
        <v>7805077.3923015716</v>
      </c>
      <c r="L39" s="23">
        <f t="shared" si="6"/>
        <v>0</v>
      </c>
      <c r="M39" s="30">
        <f>MIN(Pool_Amortization!G39,D38)</f>
        <v>0</v>
      </c>
      <c r="N39" s="30">
        <f>MIN(MAX(0,Pool_Amortization!G39-M39),C38-L39)</f>
        <v>584204.79925475153</v>
      </c>
      <c r="O39" s="30">
        <f>MIN(MAX(0,Pool_Amortization!G39-M39-N39),B38-K39)</f>
        <v>0</v>
      </c>
      <c r="P39" s="31">
        <f t="shared" si="7"/>
        <v>59667894.730191574</v>
      </c>
      <c r="Q39" s="31">
        <f t="shared" si="8"/>
        <v>83677588.797942311</v>
      </c>
      <c r="R39" s="31">
        <f t="shared" si="9"/>
        <v>0</v>
      </c>
      <c r="S39" s="31">
        <f t="shared" si="10"/>
        <v>926283.42421750259</v>
      </c>
      <c r="T39" s="18"/>
      <c r="U39" s="18"/>
      <c r="V39" s="18"/>
      <c r="W39" s="18"/>
      <c r="X39" s="18"/>
      <c r="Y39" s="18"/>
      <c r="Z39" s="18"/>
      <c r="AA39" s="18"/>
    </row>
    <row r="40" spans="1:27" ht="18" customHeight="1">
      <c r="A40" s="39">
        <f t="shared" si="0"/>
        <v>32</v>
      </c>
      <c r="B40" s="23">
        <f t="shared" si="1"/>
        <v>51993741.698883206</v>
      </c>
      <c r="C40" s="23">
        <f t="shared" si="2"/>
        <v>83132558.728750944</v>
      </c>
      <c r="D40" s="49">
        <f t="shared" si="3"/>
        <v>0</v>
      </c>
      <c r="E40" s="29">
        <f>Pool_Amortization!B40*(Inputs_Assumptions!$B$10/12)</f>
        <v>50456.231008055562</v>
      </c>
      <c r="F40" s="29">
        <f>MAX(0,Pool_Amortization!J40-E40)</f>
        <v>9380405.2290985007</v>
      </c>
      <c r="G40" s="29">
        <f>MIN(F40,B39*(Inputs_Assumptions!$B$20/12))</f>
        <v>285908.66224883468</v>
      </c>
      <c r="H40" s="31">
        <f t="shared" si="4"/>
        <v>9094496.5668496657</v>
      </c>
      <c r="I40" s="29">
        <f>MIN(H40,C39*(Inputs_Assumptions!$B$22/12))</f>
        <v>575283.42298585339</v>
      </c>
      <c r="J40" s="29">
        <f>Pool_Amortization!I40</f>
        <v>7674153.0313083651</v>
      </c>
      <c r="K40" s="23">
        <f t="shared" si="5"/>
        <v>7674153.0313083651</v>
      </c>
      <c r="L40" s="23">
        <f t="shared" si="6"/>
        <v>0</v>
      </c>
      <c r="M40" s="30">
        <f>MIN(Pool_Amortization!G40,D39)</f>
        <v>0</v>
      </c>
      <c r="N40" s="30">
        <f>MIN(MAX(0,Pool_Amortization!G40-M40),C39-L40)</f>
        <v>545030.06919136224</v>
      </c>
      <c r="O40" s="30">
        <f>MIN(MAX(0,Pool_Amortization!G40-M40-N40),B39-K40)</f>
        <v>0</v>
      </c>
      <c r="P40" s="31">
        <f t="shared" si="7"/>
        <v>51993741.698883206</v>
      </c>
      <c r="Q40" s="31">
        <f t="shared" si="8"/>
        <v>83132558.728750944</v>
      </c>
      <c r="R40" s="31">
        <f t="shared" si="9"/>
        <v>0</v>
      </c>
      <c r="S40" s="31">
        <f t="shared" si="10"/>
        <v>845060.11255544703</v>
      </c>
      <c r="T40" s="18"/>
      <c r="U40" s="18"/>
      <c r="V40" s="18"/>
      <c r="W40" s="18"/>
      <c r="X40" s="18"/>
      <c r="Y40" s="18"/>
      <c r="Z40" s="18"/>
      <c r="AA40" s="18"/>
    </row>
    <row r="41" spans="1:27" ht="18" customHeight="1">
      <c r="A41" s="39">
        <f t="shared" si="0"/>
        <v>33</v>
      </c>
      <c r="B41" s="23">
        <f t="shared" si="1"/>
        <v>44448417.356237806</v>
      </c>
      <c r="C41" s="23">
        <f t="shared" si="2"/>
        <v>82625842.858061582</v>
      </c>
      <c r="D41" s="49">
        <f t="shared" si="3"/>
        <v>0</v>
      </c>
      <c r="E41" s="29">
        <f>Pool_Amortization!B41*(Inputs_Assumptions!$B$10/12)</f>
        <v>46909.288995528761</v>
      </c>
      <c r="F41" s="29">
        <f>MAX(0,Pool_Amortization!J41-E41)</f>
        <v>9131631.4418144785</v>
      </c>
      <c r="G41" s="29">
        <f>MIN(F41,B40*(Inputs_Assumptions!$B$20/12))</f>
        <v>249136.67897381537</v>
      </c>
      <c r="H41" s="31">
        <f t="shared" si="4"/>
        <v>8882494.762840664</v>
      </c>
      <c r="I41" s="29">
        <f>MIN(H41,C40*(Inputs_Assumptions!$B$22/12))</f>
        <v>571536.34126016276</v>
      </c>
      <c r="J41" s="29">
        <f>Pool_Amortization!I41</f>
        <v>7545324.3426454002</v>
      </c>
      <c r="K41" s="23">
        <f t="shared" si="5"/>
        <v>7545324.3426454002</v>
      </c>
      <c r="L41" s="23">
        <f t="shared" si="6"/>
        <v>0</v>
      </c>
      <c r="M41" s="30">
        <f>MIN(Pool_Amortization!G41,D40)</f>
        <v>0</v>
      </c>
      <c r="N41" s="30">
        <f>MIN(MAX(0,Pool_Amortization!G41-M41),C40-L41)</f>
        <v>506715.87068936566</v>
      </c>
      <c r="O41" s="30">
        <f>MIN(MAX(0,Pool_Amortization!G41-M41-N41),B40-K41)</f>
        <v>0</v>
      </c>
      <c r="P41" s="31">
        <f t="shared" si="7"/>
        <v>44448417.356237806</v>
      </c>
      <c r="Q41" s="31">
        <f t="shared" si="8"/>
        <v>82625842.858061582</v>
      </c>
      <c r="R41" s="31">
        <f t="shared" si="9"/>
        <v>0</v>
      </c>
      <c r="S41" s="31">
        <f t="shared" si="10"/>
        <v>765634.0789351007</v>
      </c>
      <c r="T41" s="18"/>
      <c r="U41" s="18"/>
      <c r="V41" s="18"/>
      <c r="W41" s="18"/>
      <c r="X41" s="18"/>
      <c r="Y41" s="18"/>
      <c r="Z41" s="18"/>
      <c r="AA41" s="18"/>
    </row>
    <row r="42" spans="1:27" ht="18" customHeight="1">
      <c r="A42" s="39">
        <f t="shared" si="0"/>
        <v>34</v>
      </c>
      <c r="B42" s="23">
        <f t="shared" si="1"/>
        <v>37029882.403956883</v>
      </c>
      <c r="C42" s="23">
        <f t="shared" si="2"/>
        <v>82156596.045266718</v>
      </c>
      <c r="D42" s="49">
        <f t="shared" si="3"/>
        <v>0</v>
      </c>
      <c r="E42" s="29">
        <f>Pool_Amortization!B42*(Inputs_Assumptions!$B$10/12)</f>
        <v>43440.585986933329</v>
      </c>
      <c r="F42" s="29">
        <f>MAX(0,Pool_Amortization!J42-E42)</f>
        <v>8887542.7206507549</v>
      </c>
      <c r="G42" s="29">
        <f>MIN(F42,B41*(Inputs_Assumptions!$B$20/12))</f>
        <v>212981.99983197285</v>
      </c>
      <c r="H42" s="31">
        <f t="shared" si="4"/>
        <v>8674560.7208187822</v>
      </c>
      <c r="I42" s="29">
        <f>MIN(H42,C41*(Inputs_Assumptions!$B$22/12))</f>
        <v>568052.66964917339</v>
      </c>
      <c r="J42" s="29">
        <f>Pool_Amortization!I42</f>
        <v>7418534.9522809247</v>
      </c>
      <c r="K42" s="23">
        <f t="shared" si="5"/>
        <v>7418534.9522809247</v>
      </c>
      <c r="L42" s="23">
        <f t="shared" si="6"/>
        <v>0</v>
      </c>
      <c r="M42" s="30">
        <f>MIN(Pool_Amortization!G42,D41)</f>
        <v>0</v>
      </c>
      <c r="N42" s="30">
        <f>MIN(MAX(0,Pool_Amortization!G42-M42),C41-L42)</f>
        <v>469246.81279486651</v>
      </c>
      <c r="O42" s="30">
        <f>MIN(MAX(0,Pool_Amortization!G42-M42-N42),B41-K42)</f>
        <v>0</v>
      </c>
      <c r="P42" s="31">
        <f t="shared" si="7"/>
        <v>37029882.403956883</v>
      </c>
      <c r="Q42" s="31">
        <f t="shared" si="8"/>
        <v>82156596.045266718</v>
      </c>
      <c r="R42" s="31">
        <f t="shared" si="9"/>
        <v>0</v>
      </c>
      <c r="S42" s="31">
        <f t="shared" si="10"/>
        <v>687973.09888868406</v>
      </c>
      <c r="T42" s="18"/>
      <c r="U42" s="18"/>
      <c r="V42" s="18"/>
      <c r="W42" s="18"/>
      <c r="X42" s="18"/>
      <c r="Y42" s="18"/>
      <c r="Z42" s="18"/>
      <c r="AA42" s="18"/>
    </row>
    <row r="43" spans="1:27" ht="18" customHeight="1">
      <c r="A43" s="39">
        <f t="shared" si="0"/>
        <v>35</v>
      </c>
      <c r="B43" s="23">
        <f t="shared" si="1"/>
        <v>29736157.176965404</v>
      </c>
      <c r="C43" s="23">
        <f t="shared" si="2"/>
        <v>81723988.18040891</v>
      </c>
      <c r="D43" s="49">
        <f t="shared" si="3"/>
        <v>0</v>
      </c>
      <c r="E43" s="29">
        <f>Pool_Amortization!B43*(Inputs_Assumptions!$B$10/12)</f>
        <v>40048.730517845208</v>
      </c>
      <c r="F43" s="29">
        <f>MAX(0,Pool_Amortization!J43-E43)</f>
        <v>8648032.3779530413</v>
      </c>
      <c r="G43" s="29">
        <f>MIN(F43,B42*(Inputs_Assumptions!$B$20/12))</f>
        <v>177434.85318562674</v>
      </c>
      <c r="H43" s="31">
        <f t="shared" si="4"/>
        <v>8470597.5247674137</v>
      </c>
      <c r="I43" s="29">
        <f>MIN(H43,C42*(Inputs_Assumptions!$B$22/12))</f>
        <v>564826.59781120869</v>
      </c>
      <c r="J43" s="29">
        <f>Pool_Amortization!I43</f>
        <v>7293725.2269914793</v>
      </c>
      <c r="K43" s="23">
        <f t="shared" si="5"/>
        <v>7293725.2269914793</v>
      </c>
      <c r="L43" s="23">
        <f t="shared" si="6"/>
        <v>0</v>
      </c>
      <c r="M43" s="30">
        <f>MIN(Pool_Amortization!G43,D42)</f>
        <v>0</v>
      </c>
      <c r="N43" s="30">
        <f>MIN(MAX(0,Pool_Amortization!G43-M43),C42-L43)</f>
        <v>432607.8648578109</v>
      </c>
      <c r="O43" s="30">
        <f>MIN(MAX(0,Pool_Amortization!G43-M43-N43),B42-K43)</f>
        <v>0</v>
      </c>
      <c r="P43" s="31">
        <f t="shared" si="7"/>
        <v>29736157.176965404</v>
      </c>
      <c r="Q43" s="31">
        <f t="shared" si="8"/>
        <v>81723988.18040891</v>
      </c>
      <c r="R43" s="31">
        <f t="shared" si="9"/>
        <v>0</v>
      </c>
      <c r="S43" s="31">
        <f t="shared" si="10"/>
        <v>612045.69996472541</v>
      </c>
      <c r="T43" s="18"/>
      <c r="U43" s="18"/>
      <c r="V43" s="18"/>
      <c r="W43" s="18"/>
      <c r="X43" s="18"/>
      <c r="Y43" s="18"/>
      <c r="Z43" s="18"/>
      <c r="AA43" s="18"/>
    </row>
    <row r="44" spans="1:27" ht="18" customHeight="1">
      <c r="A44" s="39">
        <f t="shared" si="0"/>
        <v>36</v>
      </c>
      <c r="B44" s="23">
        <f t="shared" si="1"/>
        <v>22565326.147297479</v>
      </c>
      <c r="C44" s="23">
        <f t="shared" si="2"/>
        <v>81327203.811702669</v>
      </c>
      <c r="D44" s="49">
        <f t="shared" si="3"/>
        <v>0</v>
      </c>
      <c r="E44" s="29">
        <f>Pool_Amortization!B44*(Inputs_Assumptions!$B$10/12)</f>
        <v>36732.365606048879</v>
      </c>
      <c r="F44" s="29">
        <f>MAX(0,Pool_Amortization!J44-E44)</f>
        <v>8412990.3882483449</v>
      </c>
      <c r="G44" s="29">
        <f>MIN(F44,B43*(Inputs_Assumptions!$B$20/12))</f>
        <v>142485.75313962591</v>
      </c>
      <c r="H44" s="31">
        <f t="shared" si="4"/>
        <v>8270504.6351087186</v>
      </c>
      <c r="I44" s="29">
        <f>MIN(H44,C43*(Inputs_Assumptions!$B$22/12))</f>
        <v>561852.41874031129</v>
      </c>
      <c r="J44" s="29">
        <f>Pool_Amortization!I44</f>
        <v>7170831.029667927</v>
      </c>
      <c r="K44" s="23">
        <f t="shared" si="5"/>
        <v>7170831.029667927</v>
      </c>
      <c r="L44" s="23">
        <f t="shared" si="6"/>
        <v>0</v>
      </c>
      <c r="M44" s="30">
        <f>MIN(Pool_Amortization!G44,D43)</f>
        <v>0</v>
      </c>
      <c r="N44" s="30">
        <f>MIN(MAX(0,Pool_Amortization!G44-M44),C43-L44)</f>
        <v>396784.36870623392</v>
      </c>
      <c r="O44" s="30">
        <f>MIN(MAX(0,Pool_Amortization!G44-M44-N44),B43-K44)</f>
        <v>0</v>
      </c>
      <c r="P44" s="31">
        <f t="shared" si="7"/>
        <v>22565326.147297479</v>
      </c>
      <c r="Q44" s="31">
        <f t="shared" si="8"/>
        <v>81327203.811702669</v>
      </c>
      <c r="R44" s="31">
        <f t="shared" si="9"/>
        <v>0</v>
      </c>
      <c r="S44" s="31">
        <f t="shared" si="10"/>
        <v>537821.18670048006</v>
      </c>
      <c r="T44" s="18"/>
      <c r="U44" s="18"/>
      <c r="V44" s="18"/>
      <c r="W44" s="18"/>
      <c r="X44" s="18"/>
      <c r="Y44" s="18"/>
      <c r="Z44" s="18"/>
      <c r="AA44" s="18"/>
    </row>
    <row r="45" spans="1:27" ht="18" customHeight="1">
      <c r="A45" s="39">
        <f t="shared" si="0"/>
        <v>37</v>
      </c>
      <c r="B45" s="23">
        <f t="shared" si="1"/>
        <v>15515544.191966973</v>
      </c>
      <c r="C45" s="23">
        <f t="shared" si="2"/>
        <v>80965441.755364284</v>
      </c>
      <c r="D45" s="49">
        <f t="shared" si="3"/>
        <v>0</v>
      </c>
      <c r="E45" s="29">
        <f>Pool_Amortization!B45*(Inputs_Assumptions!$B$10/12)</f>
        <v>33490.170389388375</v>
      </c>
      <c r="F45" s="29">
        <f>MAX(0,Pool_Amortization!J45-E45)</f>
        <v>8182301.679646356</v>
      </c>
      <c r="G45" s="29">
        <f>MIN(F45,B44*(Inputs_Assumptions!$B$20/12))</f>
        <v>108125.52112246709</v>
      </c>
      <c r="H45" s="31">
        <f t="shared" si="4"/>
        <v>8074176.1585238893</v>
      </c>
      <c r="I45" s="29">
        <f>MIN(H45,C44*(Inputs_Assumptions!$B$22/12))</f>
        <v>559124.52620545588</v>
      </c>
      <c r="J45" s="29">
        <f>Pool_Amortization!I45</f>
        <v>7049781.955330505</v>
      </c>
      <c r="K45" s="23">
        <f t="shared" si="5"/>
        <v>7049781.955330505</v>
      </c>
      <c r="L45" s="23">
        <f t="shared" si="6"/>
        <v>0</v>
      </c>
      <c r="M45" s="30">
        <f>MIN(Pool_Amortization!G45,D44)</f>
        <v>0</v>
      </c>
      <c r="N45" s="30">
        <f>MIN(MAX(0,Pool_Amortization!G45-M45),C44-L45)</f>
        <v>361762.05633838678</v>
      </c>
      <c r="O45" s="30">
        <f>MIN(MAX(0,Pool_Amortization!G45-M45-N45),B44-K45)</f>
        <v>0</v>
      </c>
      <c r="P45" s="31">
        <f t="shared" si="7"/>
        <v>15515544.191966973</v>
      </c>
      <c r="Q45" s="31">
        <f t="shared" si="8"/>
        <v>80965441.755364284</v>
      </c>
      <c r="R45" s="31">
        <f t="shared" si="9"/>
        <v>0</v>
      </c>
      <c r="S45" s="31">
        <f t="shared" si="10"/>
        <v>465269.67698792834</v>
      </c>
      <c r="T45" s="18"/>
      <c r="U45" s="18"/>
      <c r="V45" s="18"/>
      <c r="W45" s="18"/>
      <c r="X45" s="18"/>
      <c r="Y45" s="18"/>
      <c r="Z45" s="18"/>
      <c r="AA45" s="18"/>
    </row>
    <row r="46" spans="1:27" ht="18" customHeight="1">
      <c r="A46" s="39">
        <f t="shared" si="0"/>
        <v>38</v>
      </c>
      <c r="B46" s="23">
        <f t="shared" si="1"/>
        <v>8585045.4296095669</v>
      </c>
      <c r="C46" s="23">
        <f t="shared" si="2"/>
        <v>80637914.679932505</v>
      </c>
      <c r="D46" s="49">
        <f t="shared" si="3"/>
        <v>0</v>
      </c>
      <c r="E46" s="29">
        <f>Pool_Amortization!B46*(Inputs_Assumptions!$B$10/12)</f>
        <v>30320.862487270926</v>
      </c>
      <c r="F46" s="29">
        <f>MAX(0,Pool_Amortization!J46-E46)</f>
        <v>7955843.6449258011</v>
      </c>
      <c r="G46" s="29">
        <f>MIN(F46,B45*(Inputs_Assumptions!$B$20/12))</f>
        <v>74345.315919841756</v>
      </c>
      <c r="H46" s="31">
        <f t="shared" si="4"/>
        <v>7881498.3290059594</v>
      </c>
      <c r="I46" s="29">
        <f>MIN(H46,C45*(Inputs_Assumptions!$B$22/12))</f>
        <v>556637.4120681294</v>
      </c>
      <c r="J46" s="29">
        <f>Pool_Amortization!I46</f>
        <v>6930498.7623574072</v>
      </c>
      <c r="K46" s="23">
        <f t="shared" si="5"/>
        <v>6930498.7623574072</v>
      </c>
      <c r="L46" s="23">
        <f t="shared" si="6"/>
        <v>0</v>
      </c>
      <c r="M46" s="30">
        <f>MIN(Pool_Amortization!G46,D45)</f>
        <v>0</v>
      </c>
      <c r="N46" s="30">
        <f>MIN(MAX(0,Pool_Amortization!G46-M46),C45-L46)</f>
        <v>327527.07543178636</v>
      </c>
      <c r="O46" s="30">
        <f>MIN(MAX(0,Pool_Amortization!G46-M46-N46),B45-K46)</f>
        <v>0</v>
      </c>
      <c r="P46" s="31">
        <f t="shared" si="7"/>
        <v>8585045.4296095669</v>
      </c>
      <c r="Q46" s="31">
        <f t="shared" si="8"/>
        <v>80637914.679932505</v>
      </c>
      <c r="R46" s="31">
        <f t="shared" si="9"/>
        <v>0</v>
      </c>
      <c r="S46" s="31">
        <f t="shared" si="10"/>
        <v>394362.15458042268</v>
      </c>
      <c r="T46" s="18"/>
      <c r="U46" s="18"/>
      <c r="V46" s="18"/>
      <c r="W46" s="18"/>
      <c r="X46" s="18"/>
      <c r="Y46" s="18"/>
      <c r="Z46" s="18"/>
      <c r="AA46" s="18"/>
    </row>
    <row r="47" spans="1:27" ht="18" customHeight="1">
      <c r="A47" s="39">
        <f t="shared" si="0"/>
        <v>39</v>
      </c>
      <c r="B47" s="23">
        <f t="shared" si="1"/>
        <v>1772155.9170816485</v>
      </c>
      <c r="C47" s="23">
        <f t="shared" si="2"/>
        <v>80343848.653695226</v>
      </c>
      <c r="D47" s="49">
        <f t="shared" si="3"/>
        <v>0</v>
      </c>
      <c r="E47" s="29">
        <f>Pool_Amortization!B47*(Inputs_Assumptions!$B$10/12)</f>
        <v>27223.201416140091</v>
      </c>
      <c r="F47" s="29">
        <f>MAX(0,Pool_Amortization!J47-E47)</f>
        <v>7733482.3970768386</v>
      </c>
      <c r="G47" s="29">
        <f>MIN(F47,B46*(Inputs_Assumptions!$B$20/12))</f>
        <v>41136.676016879181</v>
      </c>
      <c r="H47" s="31">
        <f t="shared" si="4"/>
        <v>7692345.7210599594</v>
      </c>
      <c r="I47" s="29">
        <f>MIN(H47,C46*(Inputs_Assumptions!$B$22/12))</f>
        <v>554385.663424536</v>
      </c>
      <c r="J47" s="29">
        <f>Pool_Amortization!I47</f>
        <v>6812889.5125279184</v>
      </c>
      <c r="K47" s="23">
        <f t="shared" si="5"/>
        <v>6812889.5125279184</v>
      </c>
      <c r="L47" s="23">
        <f t="shared" si="6"/>
        <v>0</v>
      </c>
      <c r="M47" s="30">
        <f>MIN(Pool_Amortization!G47,D46)</f>
        <v>0</v>
      </c>
      <c r="N47" s="30">
        <f>MIN(MAX(0,Pool_Amortization!G47-M47),C46-L47)</f>
        <v>294066.02623728185</v>
      </c>
      <c r="O47" s="30">
        <f>MIN(MAX(0,Pool_Amortization!G47-M47-N47),B46-K47)</f>
        <v>0</v>
      </c>
      <c r="P47" s="31">
        <f t="shared" si="7"/>
        <v>1772155.9170816485</v>
      </c>
      <c r="Q47" s="31">
        <f t="shared" si="8"/>
        <v>80343848.653695226</v>
      </c>
      <c r="R47" s="31">
        <f t="shared" si="9"/>
        <v>0</v>
      </c>
      <c r="S47" s="31">
        <f t="shared" si="10"/>
        <v>325070.54510750528</v>
      </c>
      <c r="T47" s="18"/>
      <c r="U47" s="18"/>
      <c r="V47" s="18"/>
      <c r="W47" s="18"/>
      <c r="X47" s="18"/>
      <c r="Y47" s="18"/>
      <c r="Z47" s="18"/>
      <c r="AA47" s="18"/>
    </row>
    <row r="48" spans="1:27" ht="18" customHeight="1">
      <c r="A48" s="39">
        <f t="shared" si="0"/>
        <v>40</v>
      </c>
      <c r="B48" s="23">
        <f t="shared" si="1"/>
        <v>0</v>
      </c>
      <c r="C48" s="23">
        <f t="shared" si="2"/>
        <v>75157795.001885369</v>
      </c>
      <c r="D48" s="49">
        <f t="shared" si="3"/>
        <v>0</v>
      </c>
      <c r="E48" s="29">
        <f>Pool_Amortization!B48*(Inputs_Assumptions!$B$10/12)</f>
        <v>24195.993589614176</v>
      </c>
      <c r="F48" s="29">
        <f>MAX(0,Pool_Amortization!J48-E48)</f>
        <v>7515066.9206665065</v>
      </c>
      <c r="G48" s="29">
        <f>MIN(F48,B47*(Inputs_Assumptions!$B$20/12))</f>
        <v>8491.5804360162329</v>
      </c>
      <c r="H48" s="31">
        <f t="shared" si="4"/>
        <v>7506575.3402304901</v>
      </c>
      <c r="I48" s="29">
        <f>MIN(H48,C47*(Inputs_Assumptions!$B$22/12))</f>
        <v>552363.95949415467</v>
      </c>
      <c r="J48" s="29">
        <f>Pool_Amortization!I48</f>
        <v>6696843.5533007607</v>
      </c>
      <c r="K48" s="23">
        <f t="shared" si="5"/>
        <v>1772155.9170816485</v>
      </c>
      <c r="L48" s="23">
        <f t="shared" si="6"/>
        <v>4924687.6362191122</v>
      </c>
      <c r="M48" s="30">
        <f>MIN(Pool_Amortization!G48,D47)</f>
        <v>0</v>
      </c>
      <c r="N48" s="30">
        <f>MIN(MAX(0,Pool_Amortization!G48-M48),C47-L48)</f>
        <v>261366.01559073484</v>
      </c>
      <c r="O48" s="30">
        <f>MIN(MAX(0,Pool_Amortization!G48-M48-N48),B47-K48)</f>
        <v>0</v>
      </c>
      <c r="P48" s="31">
        <f t="shared" si="7"/>
        <v>0</v>
      </c>
      <c r="Q48" s="31">
        <f t="shared" si="8"/>
        <v>75157795.001885369</v>
      </c>
      <c r="R48" s="31">
        <f t="shared" si="9"/>
        <v>0</v>
      </c>
      <c r="S48" s="31">
        <f t="shared" si="10"/>
        <v>257367.82743557449</v>
      </c>
      <c r="T48" s="18"/>
      <c r="U48" s="18"/>
      <c r="V48" s="18"/>
      <c r="W48" s="18"/>
      <c r="X48" s="18"/>
      <c r="Y48" s="18"/>
      <c r="Z48" s="18"/>
      <c r="AA48" s="18"/>
    </row>
    <row r="49" spans="1:27" ht="18" customHeight="1">
      <c r="A49" s="39">
        <f t="shared" si="0"/>
        <v>41</v>
      </c>
      <c r="B49" s="23">
        <f t="shared" si="1"/>
        <v>0</v>
      </c>
      <c r="C49" s="23">
        <f t="shared" si="2"/>
        <v>68346158.550244033</v>
      </c>
      <c r="D49" s="49">
        <f t="shared" si="3"/>
        <v>0</v>
      </c>
      <c r="E49" s="29">
        <f>Pool_Amortization!B49*(Inputs_Assumptions!$B$10/12)</f>
        <v>21238.099791385823</v>
      </c>
      <c r="F49" s="29">
        <f>MAX(0,Pool_Amortization!J49-E49)</f>
        <v>7300419.5207375735</v>
      </c>
      <c r="G49" s="29">
        <f>MIN(F49,B48*(Inputs_Assumptions!$B$20/12))</f>
        <v>0</v>
      </c>
      <c r="H49" s="31">
        <f t="shared" si="4"/>
        <v>7300419.5207375735</v>
      </c>
      <c r="I49" s="29">
        <f>MIN(H49,C48*(Inputs_Assumptions!$B$22/12))</f>
        <v>516709.84063796193</v>
      </c>
      <c r="J49" s="29">
        <f>Pool_Amortization!I49</f>
        <v>6582221.7140057795</v>
      </c>
      <c r="K49" s="23">
        <f t="shared" si="5"/>
        <v>0</v>
      </c>
      <c r="L49" s="23">
        <f t="shared" si="6"/>
        <v>6582221.7140057795</v>
      </c>
      <c r="M49" s="30">
        <f>MIN(Pool_Amortization!G49,D48)</f>
        <v>0</v>
      </c>
      <c r="N49" s="30">
        <f>MIN(MAX(0,Pool_Amortization!G49-M49),C48-L49)</f>
        <v>229414.73763555594</v>
      </c>
      <c r="O49" s="30">
        <f>MIN(MAX(0,Pool_Amortization!G49-M49-N49),B48-K49)</f>
        <v>0</v>
      </c>
      <c r="P49" s="31">
        <f t="shared" si="7"/>
        <v>0</v>
      </c>
      <c r="Q49" s="31">
        <f t="shared" si="8"/>
        <v>68346158.550244033</v>
      </c>
      <c r="R49" s="31">
        <f t="shared" si="9"/>
        <v>0</v>
      </c>
      <c r="S49" s="31">
        <f t="shared" si="10"/>
        <v>201487.9660938317</v>
      </c>
      <c r="T49" s="18"/>
      <c r="U49" s="18"/>
      <c r="V49" s="18"/>
      <c r="W49" s="18"/>
      <c r="X49" s="18"/>
      <c r="Y49" s="18"/>
      <c r="Z49" s="18"/>
      <c r="AA49" s="18"/>
    </row>
    <row r="50" spans="1:27" ht="18" customHeight="1">
      <c r="A50" s="39">
        <f t="shared" si="0"/>
        <v>42</v>
      </c>
      <c r="B50" s="23">
        <f t="shared" si="1"/>
        <v>0</v>
      </c>
      <c r="C50" s="23">
        <f t="shared" si="2"/>
        <v>61679118.499739043</v>
      </c>
      <c r="D50" s="49">
        <f t="shared" si="3"/>
        <v>0</v>
      </c>
      <c r="E50" s="29">
        <f>Pool_Amortization!B50*(Inputs_Assumptions!$B$10/12)</f>
        <v>18348.446681296518</v>
      </c>
      <c r="F50" s="29">
        <f>MAX(0,Pool_Amortization!J50-E50)</f>
        <v>7089319.3584527904</v>
      </c>
      <c r="G50" s="29">
        <f>MIN(F50,B49*(Inputs_Assumptions!$B$20/12))</f>
        <v>0</v>
      </c>
      <c r="H50" s="31">
        <f t="shared" si="4"/>
        <v>7089319.3584527904</v>
      </c>
      <c r="I50" s="29">
        <f>MIN(H50,C49*(Inputs_Assumptions!$B$22/12))</f>
        <v>469879.84003292775</v>
      </c>
      <c r="J50" s="29">
        <f>Pool_Amortization!I50</f>
        <v>6468839.4523932394</v>
      </c>
      <c r="K50" s="23">
        <f t="shared" si="5"/>
        <v>0</v>
      </c>
      <c r="L50" s="23">
        <f t="shared" si="6"/>
        <v>6468839.4523932394</v>
      </c>
      <c r="M50" s="30">
        <f>MIN(Pool_Amortization!G50,D49)</f>
        <v>0</v>
      </c>
      <c r="N50" s="30">
        <f>MIN(MAX(0,Pool_Amortization!G50-M50),C49-L50)</f>
        <v>198200.59811174648</v>
      </c>
      <c r="O50" s="30">
        <f>MIN(MAX(0,Pool_Amortization!G50-M50-N50),B49-K50)</f>
        <v>0</v>
      </c>
      <c r="P50" s="31">
        <f t="shared" si="7"/>
        <v>0</v>
      </c>
      <c r="Q50" s="31">
        <f t="shared" si="8"/>
        <v>61679118.499739043</v>
      </c>
      <c r="R50" s="31">
        <f t="shared" si="9"/>
        <v>0</v>
      </c>
      <c r="S50" s="31">
        <f t="shared" si="10"/>
        <v>150600.06602662336</v>
      </c>
      <c r="T50" s="18"/>
      <c r="U50" s="18"/>
      <c r="V50" s="18"/>
      <c r="W50" s="18"/>
      <c r="X50" s="18"/>
      <c r="Y50" s="18"/>
      <c r="Z50" s="18"/>
      <c r="AA50" s="18"/>
    </row>
    <row r="51" spans="1:27" ht="18" customHeight="1">
      <c r="A51" s="39">
        <f t="shared" si="0"/>
        <v>43</v>
      </c>
      <c r="B51" s="23">
        <f t="shared" si="1"/>
        <v>0</v>
      </c>
      <c r="C51" s="23">
        <f t="shared" si="2"/>
        <v>55154969.720408484</v>
      </c>
      <c r="D51" s="49">
        <f t="shared" si="3"/>
        <v>0</v>
      </c>
      <c r="E51" s="29">
        <f>Pool_Amortization!B51*(Inputs_Assumptions!$B$10/12)</f>
        <v>15526.045244009754</v>
      </c>
      <c r="F51" s="29">
        <f>MAX(0,Pool_Amortization!J51-E51)</f>
        <v>6881472.0860216934</v>
      </c>
      <c r="G51" s="29">
        <f>MIN(F51,B50*(Inputs_Assumptions!$B$20/12))</f>
        <v>0</v>
      </c>
      <c r="H51" s="31">
        <f t="shared" si="4"/>
        <v>6881472.0860216934</v>
      </c>
      <c r="I51" s="29">
        <f>MIN(H51,C50*(Inputs_Assumptions!$B$22/12))</f>
        <v>424043.93968570593</v>
      </c>
      <c r="J51" s="29">
        <f>Pool_Amortization!I51</f>
        <v>6356435.8656914188</v>
      </c>
      <c r="K51" s="23">
        <f t="shared" si="5"/>
        <v>0</v>
      </c>
      <c r="L51" s="23">
        <f t="shared" si="6"/>
        <v>6356435.8656914188</v>
      </c>
      <c r="M51" s="30">
        <f>MIN(Pool_Amortization!G51,D50)</f>
        <v>0</v>
      </c>
      <c r="N51" s="30">
        <f>MIN(MAX(0,Pool_Amortization!G51-M51),C50-L51)</f>
        <v>167712.91363914666</v>
      </c>
      <c r="O51" s="30">
        <f>MIN(MAX(0,Pool_Amortization!G51-M51-N51),B50-K51)</f>
        <v>0</v>
      </c>
      <c r="P51" s="31">
        <f t="shared" si="7"/>
        <v>0</v>
      </c>
      <c r="Q51" s="31">
        <f t="shared" si="8"/>
        <v>55154969.720408484</v>
      </c>
      <c r="R51" s="31">
        <f t="shared" si="9"/>
        <v>0</v>
      </c>
      <c r="S51" s="31">
        <f t="shared" si="10"/>
        <v>100992.28064456861</v>
      </c>
      <c r="T51" s="18"/>
      <c r="U51" s="18"/>
      <c r="V51" s="18"/>
      <c r="W51" s="18"/>
      <c r="X51" s="18"/>
      <c r="Y51" s="18"/>
      <c r="Z51" s="18"/>
      <c r="AA51" s="18"/>
    </row>
    <row r="52" spans="1:27" ht="18" customHeight="1">
      <c r="A52" s="39">
        <f t="shared" si="0"/>
        <v>44</v>
      </c>
      <c r="B52" s="23">
        <f t="shared" si="1"/>
        <v>0</v>
      </c>
      <c r="C52" s="23">
        <f t="shared" si="2"/>
        <v>48772415.94621335</v>
      </c>
      <c r="D52" s="49">
        <f t="shared" si="3"/>
        <v>0</v>
      </c>
      <c r="E52" s="29">
        <f>Pool_Amortization!B52*(Inputs_Assumptions!$B$10/12)</f>
        <v>12770.022021997849</v>
      </c>
      <c r="F52" s="29">
        <f>MAX(0,Pool_Amortization!J52-E52)</f>
        <v>6676448.7373815449</v>
      </c>
      <c r="G52" s="29">
        <f>MIN(F52,B51*(Inputs_Assumptions!$B$20/12))</f>
        <v>0</v>
      </c>
      <c r="H52" s="31">
        <f t="shared" si="4"/>
        <v>6676448.7373815449</v>
      </c>
      <c r="I52" s="29">
        <f>MIN(H52,C51*(Inputs_Assumptions!$B$22/12))</f>
        <v>379190.41682780831</v>
      </c>
      <c r="J52" s="29">
        <f>Pool_Amortization!I52</f>
        <v>6244611.5250978218</v>
      </c>
      <c r="K52" s="23">
        <f t="shared" si="5"/>
        <v>0</v>
      </c>
      <c r="L52" s="23">
        <f t="shared" si="6"/>
        <v>6244611.5250978218</v>
      </c>
      <c r="M52" s="30">
        <f>MIN(Pool_Amortization!G52,D51)</f>
        <v>0</v>
      </c>
      <c r="N52" s="30">
        <f>MIN(MAX(0,Pool_Amortization!G52-M52),C51-L52)</f>
        <v>137942.24909731178</v>
      </c>
      <c r="O52" s="30">
        <f>MIN(MAX(0,Pool_Amortization!G52-M52-N52),B51-K52)</f>
        <v>0</v>
      </c>
      <c r="P52" s="31">
        <f t="shared" si="7"/>
        <v>0</v>
      </c>
      <c r="Q52" s="31">
        <f t="shared" si="8"/>
        <v>48772415.94621335</v>
      </c>
      <c r="R52" s="31">
        <f t="shared" si="9"/>
        <v>0</v>
      </c>
      <c r="S52" s="31">
        <f t="shared" si="10"/>
        <v>52646.795455914922</v>
      </c>
      <c r="T52" s="18"/>
      <c r="U52" s="18"/>
      <c r="V52" s="18"/>
      <c r="W52" s="18"/>
      <c r="X52" s="18"/>
      <c r="Y52" s="18"/>
      <c r="Z52" s="18"/>
      <c r="AA52" s="18"/>
    </row>
    <row r="53" spans="1:27" ht="18" customHeight="1">
      <c r="A53" s="39">
        <f t="shared" si="0"/>
        <v>45</v>
      </c>
      <c r="B53" s="23">
        <f t="shared" si="1"/>
        <v>0</v>
      </c>
      <c r="C53" s="23">
        <f t="shared" si="2"/>
        <v>42530846.737550907</v>
      </c>
      <c r="D53" s="49">
        <f t="shared" si="3"/>
        <v>0</v>
      </c>
      <c r="E53" s="29">
        <f>Pool_Amortization!B53*(Inputs_Assumptions!$B$10/12)</f>
        <v>10079.676034554966</v>
      </c>
      <c r="F53" s="29">
        <f>MAX(0,Pool_Amortization!J53-E53)</f>
        <v>6473547.3534145365</v>
      </c>
      <c r="G53" s="29">
        <f>MIN(F53,B52*(Inputs_Assumptions!$B$20/12))</f>
        <v>0</v>
      </c>
      <c r="H53" s="31">
        <f t="shared" si="4"/>
        <v>6473547.3534145365</v>
      </c>
      <c r="I53" s="29">
        <f>MIN(H53,C52*(Inputs_Assumptions!$B$22/12))</f>
        <v>335310.35963021679</v>
      </c>
      <c r="J53" s="29">
        <f>Pool_Amortization!I53</f>
        <v>6132688.1761956485</v>
      </c>
      <c r="K53" s="23">
        <f t="shared" si="5"/>
        <v>0</v>
      </c>
      <c r="L53" s="23">
        <f t="shared" si="6"/>
        <v>6132688.1761956485</v>
      </c>
      <c r="M53" s="30">
        <f>MIN(Pool_Amortization!G53,D52)</f>
        <v>0</v>
      </c>
      <c r="N53" s="30">
        <f>MIN(MAX(0,Pool_Amortization!G53-M53),C52-L53)</f>
        <v>108881.03246679109</v>
      </c>
      <c r="O53" s="30">
        <f>MIN(MAX(0,Pool_Amortization!G53-M53-N53),B52-K53)</f>
        <v>0</v>
      </c>
      <c r="P53" s="31">
        <f t="shared" si="7"/>
        <v>0</v>
      </c>
      <c r="Q53" s="31">
        <f t="shared" si="8"/>
        <v>42530846.737550907</v>
      </c>
      <c r="R53" s="31">
        <f t="shared" si="9"/>
        <v>0</v>
      </c>
      <c r="S53" s="31">
        <f t="shared" si="10"/>
        <v>5548.8175886711106</v>
      </c>
      <c r="T53" s="18"/>
      <c r="U53" s="18"/>
      <c r="V53" s="18"/>
      <c r="W53" s="18"/>
      <c r="X53" s="18"/>
      <c r="Y53" s="18"/>
      <c r="Z53" s="18"/>
      <c r="AA53" s="18"/>
    </row>
    <row r="54" spans="1:27" ht="18" customHeight="1">
      <c r="A54" s="39">
        <f t="shared" si="0"/>
        <v>46</v>
      </c>
      <c r="B54" s="23">
        <f t="shared" si="1"/>
        <v>0</v>
      </c>
      <c r="C54" s="23">
        <f t="shared" si="2"/>
        <v>36430988.467880748</v>
      </c>
      <c r="D54" s="49">
        <f t="shared" si="3"/>
        <v>0</v>
      </c>
      <c r="E54" s="29">
        <f>Pool_Amortization!B54*(Inputs_Assumptions!$B$10/12)</f>
        <v>7454.5937608408885</v>
      </c>
      <c r="F54" s="29">
        <f>MAX(0,Pool_Amortization!J54-E54)</f>
        <v>6271421.6041059121</v>
      </c>
      <c r="G54" s="29">
        <f>MIN(F54,B53*(Inputs_Assumptions!$B$20/12))</f>
        <v>0</v>
      </c>
      <c r="H54" s="31">
        <f t="shared" si="4"/>
        <v>6271421.6041059121</v>
      </c>
      <c r="I54" s="29">
        <f>MIN(H54,C53*(Inputs_Assumptions!$B$22/12))</f>
        <v>292399.57132066251</v>
      </c>
      <c r="J54" s="29">
        <f>Pool_Amortization!I54</f>
        <v>6019333.4727899469</v>
      </c>
      <c r="K54" s="23">
        <f t="shared" si="5"/>
        <v>0</v>
      </c>
      <c r="L54" s="23">
        <f t="shared" si="6"/>
        <v>6019333.4727899469</v>
      </c>
      <c r="M54" s="30">
        <f>MIN(Pool_Amortization!G54,D53)</f>
        <v>0</v>
      </c>
      <c r="N54" s="30">
        <f>MIN(MAX(0,Pool_Amortization!G54-M54),C53-L54)</f>
        <v>80524.796880209586</v>
      </c>
      <c r="O54" s="30">
        <f>MIN(MAX(0,Pool_Amortization!G54-M54-N54),B53-K54)</f>
        <v>0</v>
      </c>
      <c r="P54" s="31">
        <f t="shared" si="7"/>
        <v>0</v>
      </c>
      <c r="Q54" s="31">
        <f t="shared" si="8"/>
        <v>36430988.467880748</v>
      </c>
      <c r="R54" s="31">
        <f t="shared" si="9"/>
        <v>0</v>
      </c>
      <c r="S54" s="31">
        <f t="shared" si="10"/>
        <v>0</v>
      </c>
      <c r="T54" s="18"/>
      <c r="U54" s="18"/>
      <c r="V54" s="18"/>
      <c r="W54" s="18"/>
      <c r="X54" s="18"/>
      <c r="Y54" s="18"/>
      <c r="Z54" s="18"/>
      <c r="AA54" s="18"/>
    </row>
    <row r="55" spans="1:27" ht="18" customHeight="1">
      <c r="A55" s="41">
        <f t="shared" si="0"/>
        <v>47</v>
      </c>
      <c r="B55" s="25">
        <f t="shared" si="1"/>
        <v>0</v>
      </c>
      <c r="C55" s="25">
        <f t="shared" si="2"/>
        <v>30476869.705741625</v>
      </c>
      <c r="D55" s="50">
        <f t="shared" si="3"/>
        <v>0</v>
      </c>
      <c r="E55" s="32">
        <f>Pool_Amortization!B55*(Inputs_Assumptions!$B$10/12)</f>
        <v>4894.9196876398146</v>
      </c>
      <c r="F55" s="32">
        <f>MAX(0,Pool_Amortization!J55-E55)</f>
        <v>6066772.6196595868</v>
      </c>
      <c r="G55" s="32">
        <f>MIN(F55,B54*(Inputs_Assumptions!$B$20/12))</f>
        <v>0</v>
      </c>
      <c r="H55" s="34">
        <f t="shared" si="4"/>
        <v>6066772.6196595868</v>
      </c>
      <c r="I55" s="32">
        <f>MIN(H55,C54*(Inputs_Assumptions!$B$22/12))</f>
        <v>250463.04571668015</v>
      </c>
      <c r="J55" s="32">
        <f>Pool_Amortization!I55</f>
        <v>5901243.6590499803</v>
      </c>
      <c r="K55" s="25">
        <f t="shared" si="5"/>
        <v>0</v>
      </c>
      <c r="L55" s="25">
        <f t="shared" si="6"/>
        <v>5901243.6590499803</v>
      </c>
      <c r="M55" s="33">
        <f>MIN(Pool_Amortization!G55,D54)</f>
        <v>0</v>
      </c>
      <c r="N55" s="33">
        <f>MIN(MAX(0,Pool_Amortization!G55-M55),C54-L55)</f>
        <v>52875.103089141761</v>
      </c>
      <c r="O55" s="33">
        <f>MIN(MAX(0,Pool_Amortization!G55-M55-N55),B54-K55)</f>
        <v>0</v>
      </c>
      <c r="P55" s="34">
        <f t="shared" si="7"/>
        <v>0</v>
      </c>
      <c r="Q55" s="34">
        <f t="shared" si="8"/>
        <v>30476869.705741625</v>
      </c>
      <c r="R55" s="34">
        <f t="shared" si="9"/>
        <v>0</v>
      </c>
      <c r="S55" s="34">
        <f t="shared" si="10"/>
        <v>0</v>
      </c>
      <c r="T55" s="18"/>
      <c r="U55" s="18"/>
      <c r="V55" s="18"/>
      <c r="W55" s="18"/>
      <c r="X55" s="18"/>
      <c r="Y55" s="18"/>
      <c r="Z55" s="18"/>
      <c r="AA55" s="18"/>
    </row>
    <row r="56" spans="1:27" ht="18" customHeight="1" thickBot="1">
      <c r="A56" s="42">
        <f t="shared" si="0"/>
        <v>48</v>
      </c>
      <c r="B56" s="27">
        <f t="shared" si="1"/>
        <v>0</v>
      </c>
      <c r="C56" s="27">
        <f t="shared" si="2"/>
        <v>24685704.056157801</v>
      </c>
      <c r="D56" s="51">
        <f t="shared" si="3"/>
        <v>0</v>
      </c>
      <c r="E56" s="35">
        <f>Pool_Amortization!B56*(Inputs_Assumptions!$B$10/12)</f>
        <v>2402.1738661836421</v>
      </c>
      <c r="F56" s="35">
        <f>MAX(0,Pool_Amortization!J56-E56)</f>
        <v>5846450.3467247738</v>
      </c>
      <c r="G56" s="35">
        <f>MIN(F56,B55*(Inputs_Assumptions!$B$20/12))</f>
        <v>0</v>
      </c>
      <c r="H56" s="37">
        <f t="shared" si="4"/>
        <v>5846450.3467247738</v>
      </c>
      <c r="I56" s="35">
        <f>MIN(H56,C55*(Inputs_Assumptions!$B$22/12))</f>
        <v>209528.47922697366</v>
      </c>
      <c r="J56" s="35">
        <f>Pool_Amortization!I56</f>
        <v>5765217.2788407402</v>
      </c>
      <c r="K56" s="27">
        <f t="shared" si="5"/>
        <v>0</v>
      </c>
      <c r="L56" s="27">
        <f t="shared" si="6"/>
        <v>5765217.2788407402</v>
      </c>
      <c r="M56" s="36">
        <f>MIN(Pool_Amortization!G56,D55)</f>
        <v>0</v>
      </c>
      <c r="N56" s="36">
        <f>MIN(MAX(0,Pool_Amortization!G56-M56),C55-L56)</f>
        <v>25948.370743084706</v>
      </c>
      <c r="O56" s="36">
        <f>MIN(MAX(0,Pool_Amortization!G56-M56-N56),B55-K56)</f>
        <v>0</v>
      </c>
      <c r="P56" s="37">
        <f t="shared" si="7"/>
        <v>0</v>
      </c>
      <c r="Q56" s="37">
        <f t="shared" si="8"/>
        <v>24685704.056157801</v>
      </c>
      <c r="R56" s="37">
        <f t="shared" si="9"/>
        <v>0</v>
      </c>
      <c r="S56" s="37">
        <f t="shared" si="10"/>
        <v>0</v>
      </c>
      <c r="T56" s="18"/>
      <c r="U56" s="18"/>
      <c r="V56" s="18"/>
      <c r="W56" s="18"/>
      <c r="X56" s="18"/>
      <c r="Y56" s="18"/>
      <c r="Z56" s="18"/>
      <c r="AA56" s="18"/>
    </row>
    <row r="57" spans="1:27" ht="17.100000000000001" thickTop="1"/>
  </sheetData>
  <mergeCells count="2">
    <mergeCell ref="M7:O7"/>
    <mergeCell ref="P7:R7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CDE4-7421-9144-8266-8672BEC0CEA6}">
  <dimension ref="A2:J16"/>
  <sheetViews>
    <sheetView showGridLines="0" tabSelected="1" topLeftCell="B1" workbookViewId="0">
      <selection activeCell="J5" sqref="J5"/>
    </sheetView>
  </sheetViews>
  <sheetFormatPr defaultColWidth="11" defaultRowHeight="15.95"/>
  <cols>
    <col min="1" max="1" width="38.375" customWidth="1"/>
    <col min="2" max="2" width="29.125" customWidth="1"/>
    <col min="3" max="3" width="15" customWidth="1"/>
    <col min="4" max="4" width="20" customWidth="1"/>
    <col min="5" max="5" width="15" customWidth="1"/>
    <col min="6" max="7" width="13" customWidth="1"/>
    <col min="8" max="8" width="3" customWidth="1"/>
    <col min="9" max="9" width="36.625" customWidth="1"/>
    <col min="10" max="10" width="20" customWidth="1"/>
  </cols>
  <sheetData>
    <row r="2" spans="1:10" ht="26.1" customHeight="1">
      <c r="A2" s="18"/>
      <c r="B2" s="64" t="s">
        <v>50</v>
      </c>
      <c r="C2" s="64"/>
      <c r="D2" s="64"/>
      <c r="E2" s="64"/>
      <c r="F2" s="64"/>
      <c r="G2" s="64"/>
      <c r="H2" s="64"/>
      <c r="I2" s="64"/>
      <c r="J2" s="64"/>
    </row>
    <row r="3" spans="1:10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0" ht="21.95" customHeight="1">
      <c r="A4" s="18"/>
      <c r="B4" s="65" t="s">
        <v>51</v>
      </c>
      <c r="C4" s="65"/>
      <c r="D4" s="65"/>
      <c r="E4" s="65"/>
      <c r="F4" s="18"/>
      <c r="G4" s="18"/>
      <c r="H4" s="18"/>
      <c r="I4" s="65" t="s">
        <v>52</v>
      </c>
      <c r="J4" s="65"/>
    </row>
    <row r="5" spans="1:10">
      <c r="A5" s="18"/>
      <c r="B5" s="18" t="s">
        <v>5</v>
      </c>
      <c r="C5" s="68">
        <v>0.65</v>
      </c>
      <c r="D5" s="18" t="s">
        <v>53</v>
      </c>
      <c r="E5" s="69">
        <v>0.65</v>
      </c>
      <c r="F5" s="18"/>
      <c r="G5" s="18"/>
      <c r="H5" s="18"/>
      <c r="I5" s="17" t="s">
        <v>54</v>
      </c>
      <c r="J5" s="76">
        <f>Waterfall_Cashflows!$AA$9</f>
        <v>6.9635496041864892E-2</v>
      </c>
    </row>
    <row r="6" spans="1:10">
      <c r="A6" s="18"/>
      <c r="B6" s="18" t="s">
        <v>7</v>
      </c>
      <c r="C6" s="66">
        <v>1</v>
      </c>
      <c r="D6" s="18" t="s">
        <v>53</v>
      </c>
      <c r="E6" s="70">
        <v>1</v>
      </c>
      <c r="F6" s="18"/>
      <c r="G6" s="18"/>
      <c r="H6" s="18"/>
      <c r="I6" s="17" t="s">
        <v>55</v>
      </c>
      <c r="J6" s="71">
        <f>Waterfall_Cashflows!$AA$10</f>
        <v>1</v>
      </c>
    </row>
    <row r="7" spans="1:10">
      <c r="A7" s="18"/>
      <c r="B7" s="18"/>
      <c r="C7" s="18"/>
      <c r="D7" s="18"/>
      <c r="E7" s="18"/>
      <c r="F7" s="18"/>
      <c r="G7" s="18"/>
      <c r="H7" s="18"/>
      <c r="I7" s="17" t="s">
        <v>56</v>
      </c>
      <c r="J7" s="72">
        <f>Waterfall_Cashflows!$Q$56</f>
        <v>24685704.056157801</v>
      </c>
    </row>
    <row r="8" spans="1:10">
      <c r="A8" s="18"/>
      <c r="B8" s="65" t="s">
        <v>57</v>
      </c>
      <c r="C8" s="65"/>
      <c r="D8" s="65"/>
      <c r="E8" s="65"/>
      <c r="F8" s="65"/>
      <c r="G8" s="65"/>
      <c r="H8" s="18"/>
      <c r="I8" s="17" t="s">
        <v>58</v>
      </c>
      <c r="J8" s="72">
        <f>Pool_Amortization!$K$56</f>
        <v>0</v>
      </c>
    </row>
    <row r="9" spans="1:10" ht="38.1" customHeight="1">
      <c r="A9" s="73" t="s">
        <v>59</v>
      </c>
      <c r="B9" s="75">
        <f>Waterfall_Cashflows!$AA$9</f>
        <v>6.9635496041864892E-2</v>
      </c>
      <c r="C9" s="74">
        <v>0.55000000000000004</v>
      </c>
      <c r="D9" s="74">
        <v>0.6</v>
      </c>
      <c r="E9" s="74">
        <v>0.65</v>
      </c>
      <c r="F9" s="74">
        <v>0.7</v>
      </c>
      <c r="G9" s="74">
        <v>0.75</v>
      </c>
      <c r="H9" s="18"/>
      <c r="I9" s="18"/>
      <c r="J9" s="18"/>
    </row>
    <row r="10" spans="1:10" ht="20.100000000000001" customHeight="1">
      <c r="A10" s="58"/>
      <c r="B10" s="59">
        <v>1</v>
      </c>
      <c r="C10" s="60">
        <f t="dataTable" ref="C10:G16" dt2D="1" dtr="1" r1="C5" r2="C6"/>
        <v>0</v>
      </c>
      <c r="D10" s="60">
        <v>2.8079824400635393E-2</v>
      </c>
      <c r="E10" s="60">
        <v>6.9635496041864892E-2</v>
      </c>
      <c r="F10" s="60">
        <v>0.11119116768309432</v>
      </c>
      <c r="G10" s="60">
        <v>0.15274683932432362</v>
      </c>
      <c r="H10" s="18"/>
      <c r="I10" s="65" t="s">
        <v>60</v>
      </c>
      <c r="J10" s="65"/>
    </row>
    <row r="11" spans="1:10" ht="33.950000000000003" customHeight="1">
      <c r="A11" s="58"/>
      <c r="B11" s="59">
        <v>1.2</v>
      </c>
      <c r="C11" s="60">
        <v>7.066465934619065E-2</v>
      </c>
      <c r="D11" s="60">
        <v>0.11986946794985502</v>
      </c>
      <c r="E11" s="60">
        <v>0.16907427655351936</v>
      </c>
      <c r="F11" s="60">
        <v>0.21827908515718383</v>
      </c>
      <c r="G11" s="60">
        <v>0.26748389376084825</v>
      </c>
      <c r="H11" s="18"/>
      <c r="I11" s="67" t="s">
        <v>61</v>
      </c>
      <c r="J11" s="67"/>
    </row>
    <row r="12" spans="1:10" ht="20.100000000000001" customHeight="1">
      <c r="A12" s="58"/>
      <c r="B12" s="59">
        <v>1.4</v>
      </c>
      <c r="C12" s="60">
        <v>0.15250161090022837</v>
      </c>
      <c r="D12" s="60">
        <v>0.20914614237244161</v>
      </c>
      <c r="E12" s="60">
        <v>0.26579067384465488</v>
      </c>
      <c r="F12" s="60">
        <v>0.32243520531686798</v>
      </c>
      <c r="G12" s="60">
        <v>0.37907973678908141</v>
      </c>
      <c r="H12" s="18"/>
      <c r="I12" s="18"/>
      <c r="J12" s="18"/>
    </row>
    <row r="13" spans="1:10" ht="20.100000000000001" customHeight="1">
      <c r="A13" s="58"/>
      <c r="B13" s="59">
        <v>1.6</v>
      </c>
      <c r="C13" s="60">
        <v>0.23208693614128187</v>
      </c>
      <c r="D13" s="60">
        <v>0.29596649718086354</v>
      </c>
      <c r="E13" s="60">
        <v>0.35984605822044524</v>
      </c>
      <c r="F13" s="60">
        <v>0.42372561926002705</v>
      </c>
      <c r="G13" s="60">
        <v>0.48760518029960875</v>
      </c>
      <c r="H13" s="18"/>
      <c r="I13" s="18"/>
      <c r="J13" s="18"/>
    </row>
    <row r="14" spans="1:10" ht="20.100000000000001" customHeight="1">
      <c r="A14" s="58"/>
      <c r="B14" s="59">
        <v>1.8</v>
      </c>
      <c r="C14" s="60">
        <v>0.3094720108706161</v>
      </c>
      <c r="D14" s="60">
        <v>0.3803865787037734</v>
      </c>
      <c r="E14" s="60">
        <v>0.45130114653693121</v>
      </c>
      <c r="F14" s="60">
        <v>0.52221571437008873</v>
      </c>
      <c r="G14" s="60">
        <v>0.59313028220324626</v>
      </c>
      <c r="H14" s="18"/>
      <c r="I14" s="18"/>
      <c r="J14" s="18"/>
    </row>
    <row r="15" spans="1:10" ht="20.100000000000001" customHeight="1">
      <c r="A15" s="58"/>
      <c r="B15" s="59">
        <v>2</v>
      </c>
      <c r="C15" s="60">
        <v>0.38470766090096137</v>
      </c>
      <c r="D15" s="60">
        <v>0.46246183328233215</v>
      </c>
      <c r="E15" s="60">
        <v>0.54021600566370265</v>
      </c>
      <c r="F15" s="60">
        <v>0.61797017804507381</v>
      </c>
      <c r="G15" s="60">
        <v>0.69572435042644454</v>
      </c>
      <c r="H15" s="18"/>
      <c r="I15" s="18"/>
      <c r="J15" s="18"/>
    </row>
    <row r="16" spans="1:10" ht="20.100000000000001" customHeight="1">
      <c r="A16" s="58"/>
      <c r="B16" s="59">
        <v>2.2000000000000002</v>
      </c>
      <c r="C16" s="60">
        <v>0.45784416526131044</v>
      </c>
      <c r="D16" s="60">
        <v>0.54224711076634902</v>
      </c>
      <c r="E16" s="60">
        <v>0.62665005627138803</v>
      </c>
      <c r="F16" s="60">
        <v>0.71105300177642683</v>
      </c>
      <c r="G16" s="60">
        <v>0.79545594728146618</v>
      </c>
      <c r="H16" s="18"/>
      <c r="I16" s="18"/>
      <c r="J16" s="18"/>
    </row>
  </sheetData>
  <conditionalFormatting sqref="C10:G16">
    <cfRule type="colorScale" priority="1">
      <colorScale>
        <cfvo type="min"/>
        <cfvo type="percent" val="50"/>
        <cfvo type="max"/>
        <color rgb="FFC6EFCE"/>
        <color rgb="FFFFEB9C"/>
        <color rgb="FFFFC7CE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Faiz Barket Meghani</dc:creator>
  <cp:keywords/>
  <dc:description/>
  <cp:lastModifiedBy/>
  <cp:revision/>
  <dcterms:created xsi:type="dcterms:W3CDTF">2026-09-20T18:29:30Z</dcterms:created>
  <dcterms:modified xsi:type="dcterms:W3CDTF">2026-10-15T17:47:46Z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9995b7c5-7788-4985-9050-05b01c44defb</vt:lpwstr>
  </property>
</Properties>
</file>